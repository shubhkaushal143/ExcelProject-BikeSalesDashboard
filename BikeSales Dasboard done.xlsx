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shubh\OneDrive\Desktop\ExcelTUTORIAL\"/>
    </mc:Choice>
  </mc:AlternateContent>
  <xr:revisionPtr revIDLastSave="0" documentId="13_ncr:1_{173B2075-2459-4568-8F25-93514DF9BF11}" xr6:coauthVersionLast="47" xr6:coauthVersionMax="47" xr10:uidLastSave="{00000000-0000-0000-0000-000000000000}"/>
  <bookViews>
    <workbookView xWindow="-108" yWindow="-108" windowWidth="23256" windowHeight="12456" activeTab="3" xr2:uid="{00000000-000D-0000-FFFF-FFFF00000000}"/>
  </bookViews>
  <sheets>
    <sheet name="bike_buyers" sheetId="1" r:id="rId1"/>
    <sheet name="Working_sheet" sheetId="4" r:id="rId2"/>
    <sheet name="Pivot table" sheetId="3" r:id="rId3"/>
    <sheet name="Dashboard" sheetId="2" r:id="rId4"/>
  </sheets>
  <definedNames>
    <definedName name="_xlnm._FilterDatabase" localSheetId="0" hidden="1">bike_buyers!$A$1:$M$1001</definedName>
    <definedName name="_xlnm._FilterDatabase" localSheetId="1" hidden="1">Working_sheet!$A$1:$N$1001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<sst xmlns="http://schemas.openxmlformats.org/spreadsheetml/2006/main" count="16274" uniqueCount="51">
  <si>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</si>
  <si>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</si>
  <si>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</si>
  <si>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</si>
  <si>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</si>
  <si>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</si>
  <si>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</si>
  <si>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</si>
  <si>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</si>
  <si>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</si>
  <si>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</si>
  <si>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</si>
  <si>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</si>
  <si>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</si>
  <si>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</si>
  <si>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</si>
  <si>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</si>
  <si>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</si>
  <si>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</si>
  <si>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</si>
  <si>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</si>
  <si>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</si>
  <si>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</si>
  <si>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</si>
  <si>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</si>
  <si>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</si>
  <si>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</si>
  <si>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</si>
  <si>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</si>
  <si>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</si>
  <si>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</si>
  <si>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</si>
  <si>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</si>
  <si>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</si>
  <si>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</si>
  <si>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</si>
  <si>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</si>
  <si>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</si>
  <si>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</si>
  <si>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</si>
  <si>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Age-Bracket</t>
  </si>
  <si>
    <t>Row Labels</t>
  </si>
  <si>
    <t>Grand Total</t>
  </si>
  <si>
    <t>Average of Income</t>
  </si>
  <si>
    <t>Column Labels</t>
  </si>
  <si>
    <t>Count of Purchased Bike</t>
  </si>
  <si>
    <t>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</si>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</sst>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45C]#,##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0"/>
      <name val="Calibri"/>
      <family val="2"/>
      <scheme val="minor"/>
    </font>
    <font>
      <b/>
      <sz val="36"/>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19" fillId="33" borderId="0" xfId="0" applyFont="1" applyFill="1" applyAlignment="1">
      <alignment horizontal="center" vertical="center"/>
    </xf>
    <xf numFmtId="0" fontId="20" fillId="33" borderId="0" xfId="0" applyFont="1" applyFill="1"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Dashboard done.xlsx]Pivot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[$$-45C]#,##0</c:formatCode>
                <c:ptCount val="2"/>
                <c:pt idx="0">
                  <c:v>53440</c:v>
                </c:pt>
                <c:pt idx="1">
                  <c:v>56208.178438661707</c:v>
                </c:pt>
              </c:numCache>
            </c:numRef>
          </c:val>
          <c:extLst>
            <c:ext xmlns:c16="http://schemas.microsoft.com/office/drawing/2014/chart" uri="{C3380CC4-5D6E-409C-BE32-E72D297353CC}">
              <c16:uniqueId val="{00000000-5A96-40FA-9A1D-92B1DFCDC44C}"/>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[$$-45C]#,##0</c:formatCode>
                <c:ptCount val="2"/>
                <c:pt idx="0">
                  <c:v>55774.058577405856</c:v>
                </c:pt>
                <c:pt idx="1">
                  <c:v>60123.966942148763</c:v>
                </c:pt>
              </c:numCache>
            </c:numRef>
          </c:val>
          <c:extLst>
            <c:ext xmlns:c16="http://schemas.microsoft.com/office/drawing/2014/chart" uri="{C3380CC4-5D6E-409C-BE32-E72D297353CC}">
              <c16:uniqueId val="{00000001-5A96-40FA-9A1D-92B1DFCDC44C}"/>
            </c:ext>
          </c:extLst>
        </c:ser>
        <c:dLbls>
          <c:showLegendKey val="0"/>
          <c:showVal val="0"/>
          <c:showCatName val="0"/>
          <c:showSerName val="0"/>
          <c:showPercent val="0"/>
          <c:showBubbleSize val="0"/>
        </c:dLbls>
        <c:gapWidth val="219"/>
        <c:overlap val="-27"/>
        <c:axId val="2047730784"/>
        <c:axId val="2047728864"/>
      </c:barChart>
      <c:catAx>
        <c:axId val="2047730784"/>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728864"/>
        <c:crosses val="autoZero"/>
        <c:auto val="1"/>
        <c:lblAlgn val="ctr"/>
        <c:lblOffset val="100"/>
        <c:noMultiLvlLbl val="0"/>
      </c:catAx>
      <c:valAx>
        <c:axId val="20477288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5C]#,##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73078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Dashboard done.xlsx]Pivot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none"/>
          </c:marker>
          <c:cat>
            <c:strRef>
              <c:f>'Pivot table'!$A$23:$A$28</c:f>
              <c:strCache>
                <c:ptCount val="5"/>
                <c:pt idx="0">
                  <c:v>0-1 Miles</c:v>
                </c:pt>
                <c:pt idx="1">
                  <c:v>1-2 Miles</c:v>
                </c:pt>
                <c:pt idx="2">
                  <c:v>2-5 Miles</c:v>
                </c:pt>
                <c:pt idx="3">
                  <c:v>5-10 Miles</c:v>
                </c:pt>
                <c:pt idx="4">
                  <c:v>10 Miles+</c:v>
                </c:pt>
              </c:strCache>
            </c:strRef>
          </c:cat>
          <c:val>
            <c:numRef>
              <c:f>'Pivot table'!$B$23:$B$28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129A-4C4C-BCA5-585F33E21F29}"/>
            </c:ext>
          </c:extLst>
        </c:ser>
        <c:ser>
          <c:idx val="1"/>
          <c:order val="1"/>
          <c:tx>
            <c:strRef>
              <c:f>'Pivot table'!$C$21:$C$22</c:f>
              <c:strCache>
                <c:ptCount val="1"/>
                <c:pt idx="0">
                  <c:v>Yes</c:v>
                </c:pt>
              </c:strCache>
            </c:strRef>
          </c:tx>
          <c:spPr>
            <a:ln w="28575" cap="rnd">
              <a:solidFill>
                <a:schemeClr val="accent2"/>
              </a:solidFill>
              <a:round/>
            </a:ln>
            <a:effectLst/>
          </c:spPr>
          <c:marker>
            <c:symbol val="none"/>
          </c:marker>
          <c:cat>
            <c:strRef>
              <c:f>'Pivot table'!$A$23:$A$28</c:f>
              <c:strCache>
                <c:ptCount val="5"/>
                <c:pt idx="0">
                  <c:v>0-1 Miles</c:v>
                </c:pt>
                <c:pt idx="1">
                  <c:v>1-2 Miles</c:v>
                </c:pt>
                <c:pt idx="2">
                  <c:v>2-5 Miles</c:v>
                </c:pt>
                <c:pt idx="3">
                  <c:v>5-10 Miles</c:v>
                </c:pt>
                <c:pt idx="4">
                  <c:v>10 Miles+</c:v>
                </c:pt>
              </c:strCache>
            </c:strRef>
          </c:cat>
          <c:val>
            <c:numRef>
              <c:f>'Pivot table'!$C$23:$C$28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129A-4C4C-BCA5-585F33E21F29}"/>
            </c:ext>
          </c:extLst>
        </c:ser>
        <c:dLbls>
          <c:showLegendKey val="0"/>
          <c:showVal val="0"/>
          <c:showCatName val="0"/>
          <c:showSerName val="0"/>
          <c:showPercent val="0"/>
          <c:showBubbleSize val="0"/>
        </c:dLbls>
        <c:smooth val="0"/>
        <c:axId val="2047728384"/>
        <c:axId val="1673913216"/>
      </c:lineChart>
      <c:catAx>
        <c:axId val="20477283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3913216"/>
        <c:crosses val="autoZero"/>
        <c:auto val="1"/>
        <c:lblAlgn val="ctr"/>
        <c:lblOffset val="100"/>
        <c:noMultiLvlLbl val="0"/>
      </c:catAx>
      <c:valAx>
        <c:axId val="16739132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728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Dashboard done.xlsx]Pivot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table'!$B$38:$B$39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table'!$A$40:$A$43</c:f>
              <c:strCache>
                <c:ptCount val="3"/>
                <c:pt idx="0">
                  <c:v>Adolescent</c:v>
                </c:pt>
                <c:pt idx="1">
                  <c:v>Middle Age</c:v>
                </c:pt>
                <c:pt idx="2">
                  <c:v>Old</c:v>
                </c:pt>
              </c:strCache>
            </c:strRef>
          </c:cat>
          <c:val>
            <c:numRef>
              <c:f>'Pivot table'!$B$40:$B$43</c:f>
              <c:numCache>
                <c:formatCode>General</c:formatCode>
                <c:ptCount val="3"/>
                <c:pt idx="0">
                  <c:v>71</c:v>
                </c:pt>
                <c:pt idx="1">
                  <c:v>331</c:v>
                </c:pt>
                <c:pt idx="2">
                  <c:v>117</c:v>
                </c:pt>
              </c:numCache>
            </c:numRef>
          </c:val>
          <c:smooth val="0"/>
          <c:extLst>
            <c:ext xmlns:c16="http://schemas.microsoft.com/office/drawing/2014/chart" uri="{C3380CC4-5D6E-409C-BE32-E72D297353CC}">
              <c16:uniqueId val="{00000000-87DD-4D76-9BAC-9D1AE018ECCB}"/>
            </c:ext>
          </c:extLst>
        </c:ser>
        <c:ser>
          <c:idx val="1"/>
          <c:order val="1"/>
          <c:tx>
            <c:strRef>
              <c:f>'Pivot table'!$C$38:$C$39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table'!$A$40:$A$43</c:f>
              <c:strCache>
                <c:ptCount val="3"/>
                <c:pt idx="0">
                  <c:v>Adolescent</c:v>
                </c:pt>
                <c:pt idx="1">
                  <c:v>Middle Age</c:v>
                </c:pt>
                <c:pt idx="2">
                  <c:v>Old</c:v>
                </c:pt>
              </c:strCache>
            </c:strRef>
          </c:cat>
          <c:val>
            <c:numRef>
              <c:f>'Pivot table'!$C$40:$C$43</c:f>
              <c:numCache>
                <c:formatCode>General</c:formatCode>
                <c:ptCount val="3"/>
                <c:pt idx="0">
                  <c:v>39</c:v>
                </c:pt>
                <c:pt idx="1">
                  <c:v>388</c:v>
                </c:pt>
                <c:pt idx="2">
                  <c:v>54</c:v>
                </c:pt>
              </c:numCache>
            </c:numRef>
          </c:val>
          <c:smooth val="0"/>
          <c:extLst>
            <c:ext xmlns:c16="http://schemas.microsoft.com/office/drawing/2014/chart" uri="{C3380CC4-5D6E-409C-BE32-E72D297353CC}">
              <c16:uniqueId val="{00000001-87DD-4D76-9BAC-9D1AE018ECCB}"/>
            </c:ext>
          </c:extLst>
        </c:ser>
        <c:dLbls>
          <c:showLegendKey val="0"/>
          <c:showVal val="0"/>
          <c:showCatName val="0"/>
          <c:showSerName val="0"/>
          <c:showPercent val="0"/>
          <c:showBubbleSize val="0"/>
        </c:dLbls>
        <c:marker val="1"/>
        <c:smooth val="0"/>
        <c:axId val="393069168"/>
        <c:axId val="393070608"/>
      </c:lineChart>
      <c:catAx>
        <c:axId val="3930691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layout>
            <c:manualLayout>
              <c:xMode val="edge"/>
              <c:yMode val="edge"/>
              <c:x val="0.40692935258092733"/>
              <c:y val="0.847293671624380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3070608"/>
        <c:crosses val="autoZero"/>
        <c:auto val="1"/>
        <c:lblAlgn val="ctr"/>
        <c:lblOffset val="100"/>
        <c:noMultiLvlLbl val="0"/>
      </c:catAx>
      <c:valAx>
        <c:axId val="393070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3069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Dashboard done.xlsx]Pivot table!PivotTable2</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sz="1400" b="1">
                <a:solidFill>
                  <a:schemeClr val="tx1">
                    <a:lumMod val="95000"/>
                    <a:lumOff val="5000"/>
                  </a:schemeClr>
                </a:solidFill>
                <a:latin typeface="Aptos Display" panose="020B0004020202020204" pitchFamily="34" charset="0"/>
              </a:rPr>
              <a:t>Customer Commute</a:t>
            </a:r>
          </a:p>
        </c:rich>
      </c:tx>
      <c:layout>
        <c:manualLayout>
          <c:xMode val="edge"/>
          <c:yMode val="edge"/>
          <c:x val="0.33528325681697813"/>
          <c:y val="3.78589510630697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5.1225759238931578E-4"/>
              <c:y val="5.381839289319506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1.7489937797292285E-2"/>
              <c:y val="-4.80369641294839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2.0636663007683863E-2"/>
              <c:y val="-0.112139528232047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5.9055982436882544E-2"/>
              <c:y val="-1.59856820782017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5.5396999634101718E-2"/>
              <c:y val="5.381839289319604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2.6125137211855103E-2"/>
              <c:y val="6.948440339188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2.0636663007683929E-2"/>
              <c:y val="2.6749360656840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1.9319429198682767E-2"/>
              <c:y val="3.74331213406016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4.0579710144927554E-2"/>
              <c:y val="2.46917175293915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layout>
            <c:manualLayout>
              <c:x val="-1.962095875139367E-2"/>
              <c:y val="4.441558340710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layout>
            <c:manualLayout>
              <c:x val="-2.3337049424005947E-2"/>
              <c:y val="6.41394492848157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2.3337049424005947E-2"/>
              <c:y val="-5.91347124508845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layout>
            <c:manualLayout>
              <c:x val="-4.9349684132292827E-2"/>
              <c:y val="2.469171752939166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2.5195094760312221E-2"/>
              <c:y val="3.94846169376756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41378197648455E-2"/>
          <c:y val="0.2984483309778585"/>
          <c:w val="0.89946181260822089"/>
          <c:h val="0.35986986001749782"/>
        </c:manualLayout>
      </c:layout>
      <c:lineChart>
        <c:grouping val="standard"/>
        <c:varyColors val="0"/>
        <c:ser>
          <c:idx val="0"/>
          <c:order val="0"/>
          <c:tx>
            <c:strRef>
              <c:f>'Pivot table'!$B$21:$B$22</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s>
            <c:dLbl>
              <c:idx val="0"/>
              <c:layout>
                <c:manualLayout>
                  <c:x val="-4.0579710144927554E-2"/>
                  <c:y val="2.469171752939157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33E-4F28-B2E8-57AFE521ED58}"/>
                </c:ext>
              </c:extLst>
            </c:dLbl>
            <c:dLbl>
              <c:idx val="1"/>
              <c:layout>
                <c:manualLayout>
                  <c:x val="-2.3337049424005947E-2"/>
                  <c:y val="-5.913471245088455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33E-4F28-B2E8-57AFE521ED58}"/>
                </c:ext>
              </c:extLst>
            </c:dLbl>
            <c:dLbl>
              <c:idx val="2"/>
              <c:layout>
                <c:manualLayout>
                  <c:x val="-2.5195094760312221E-2"/>
                  <c:y val="3.948461693767568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33E-4F28-B2E8-57AFE521ED5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table'!$A$23:$A$28</c:f>
              <c:strCache>
                <c:ptCount val="5"/>
                <c:pt idx="0">
                  <c:v>0-1 Miles</c:v>
                </c:pt>
                <c:pt idx="1">
                  <c:v>1-2 Miles</c:v>
                </c:pt>
                <c:pt idx="2">
                  <c:v>2-5 Miles</c:v>
                </c:pt>
                <c:pt idx="3">
                  <c:v>5-10 Miles</c:v>
                </c:pt>
                <c:pt idx="4">
                  <c:v>10 Miles+</c:v>
                </c:pt>
              </c:strCache>
            </c:strRef>
          </c:cat>
          <c:val>
            <c:numRef>
              <c:f>'Pivot table'!$B$23:$B$28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D76B-4838-8C67-02F522585C26}"/>
            </c:ext>
          </c:extLst>
        </c:ser>
        <c:ser>
          <c:idx val="1"/>
          <c:order val="1"/>
          <c:tx>
            <c:strRef>
              <c:f>'Pivot table'!$C$21:$C$22</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s>
            <c:dLbl>
              <c:idx val="1"/>
              <c:layout>
                <c:manualLayout>
                  <c:x val="-4.9349684132292827E-2"/>
                  <c:y val="2.469171752939166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33E-4F28-B2E8-57AFE521ED58}"/>
                </c:ext>
              </c:extLst>
            </c:dLbl>
            <c:dLbl>
              <c:idx val="3"/>
              <c:layout>
                <c:manualLayout>
                  <c:x val="-2.3337049424005947E-2"/>
                  <c:y val="6.413944928481572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33E-4F28-B2E8-57AFE521ED58}"/>
                </c:ext>
              </c:extLst>
            </c:dLbl>
            <c:dLbl>
              <c:idx val="4"/>
              <c:layout>
                <c:manualLayout>
                  <c:x val="-1.962095875139367E-2"/>
                  <c:y val="4.4415583407103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33E-4F28-B2E8-57AFE521ED5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table'!$A$23:$A$28</c:f>
              <c:strCache>
                <c:ptCount val="5"/>
                <c:pt idx="0">
                  <c:v>0-1 Miles</c:v>
                </c:pt>
                <c:pt idx="1">
                  <c:v>1-2 Miles</c:v>
                </c:pt>
                <c:pt idx="2">
                  <c:v>2-5 Miles</c:v>
                </c:pt>
                <c:pt idx="3">
                  <c:v>5-10 Miles</c:v>
                </c:pt>
                <c:pt idx="4">
                  <c:v>10 Miles+</c:v>
                </c:pt>
              </c:strCache>
            </c:strRef>
          </c:cat>
          <c:val>
            <c:numRef>
              <c:f>'Pivot table'!$C$23:$C$28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D76B-4838-8C67-02F522585C26}"/>
            </c:ext>
          </c:extLst>
        </c:ser>
        <c:dLbls>
          <c:dLblPos val="t"/>
          <c:showLegendKey val="0"/>
          <c:showVal val="1"/>
          <c:showCatName val="0"/>
          <c:showSerName val="0"/>
          <c:showPercent val="0"/>
          <c:showBubbleSize val="0"/>
        </c:dLbls>
        <c:marker val="1"/>
        <c:smooth val="0"/>
        <c:axId val="2047728384"/>
        <c:axId val="1673913216"/>
      </c:lineChart>
      <c:catAx>
        <c:axId val="2047728384"/>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solidFill>
                      <a:schemeClr val="bg1">
                        <a:lumMod val="50000"/>
                      </a:schemeClr>
                    </a:solidFill>
                  </a:rPr>
                  <a:t>Commute Distance</a:t>
                </a:r>
              </a:p>
            </c:rich>
          </c:tx>
          <c:layout>
            <c:manualLayout>
              <c:xMode val="edge"/>
              <c:yMode val="edge"/>
              <c:x val="0.37878360940668371"/>
              <c:y val="0.79736290360154671"/>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73913216"/>
        <c:crosses val="autoZero"/>
        <c:auto val="1"/>
        <c:lblAlgn val="ctr"/>
        <c:lblOffset val="100"/>
        <c:noMultiLvlLbl val="0"/>
      </c:catAx>
      <c:valAx>
        <c:axId val="1673913216"/>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 </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47728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Dashboard done.xlsx]Pivot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lumMod val="95000"/>
                    <a:lumOff val="5000"/>
                  </a:schemeClr>
                </a:solidFill>
                <a:latin typeface="Aptos Display" panose="020B0004020202020204" pitchFamily="34" charset="0"/>
              </a:rPr>
              <a:t>Customer</a:t>
            </a:r>
            <a:r>
              <a:rPr lang="en-IN" b="1" baseline="0">
                <a:solidFill>
                  <a:schemeClr val="tx1">
                    <a:lumMod val="95000"/>
                    <a:lumOff val="5000"/>
                  </a:schemeClr>
                </a:solidFill>
                <a:latin typeface="Aptos Display" panose="020B0004020202020204" pitchFamily="34" charset="0"/>
              </a:rPr>
              <a:t> Age Brackets</a:t>
            </a:r>
            <a:endParaRPr lang="en-IN" b="1">
              <a:solidFill>
                <a:schemeClr val="tx1">
                  <a:lumMod val="95000"/>
                  <a:lumOff val="5000"/>
                </a:schemeClr>
              </a:solidFill>
              <a:latin typeface="Aptos Display" panose="020B0004020202020204" pitchFamily="34" charset="0"/>
            </a:endParaRPr>
          </a:p>
        </c:rich>
      </c:tx>
      <c:layout>
        <c:manualLayout>
          <c:xMode val="edge"/>
          <c:yMode val="edge"/>
          <c:x val="0.20430422915539106"/>
          <c:y val="2.17899914828527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2971014492753624E-2"/>
              <c:y val="-7.17246281714786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2.9202898550724769E-2"/>
              <c:y val="3.47568533100027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4.0072463768115942E-2"/>
              <c:y val="3.93864829396325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1811594202898584E-2"/>
              <c:y val="-5.32061096529600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8333246038258525E-2"/>
              <c:y val="7.01691262102171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5.4637405357589791E-2"/>
              <c:y val="-3.50250299838348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table'!$B$38:$B$39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dLbl>
              <c:idx val="0"/>
              <c:layout>
                <c:manualLayout>
                  <c:x val="-6.1811594202898584E-2"/>
                  <c:y val="-5.32061096529600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C35-4D6B-8E89-B23FB35752FD}"/>
                </c:ext>
              </c:extLst>
            </c:dLbl>
            <c:dLbl>
              <c:idx val="1"/>
              <c:layout>
                <c:manualLayout>
                  <c:x val="-4.8333246038258525E-2"/>
                  <c:y val="7.016912621021714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C35-4D6B-8E89-B23FB35752FD}"/>
                </c:ext>
              </c:extLst>
            </c:dLbl>
            <c:dLbl>
              <c:idx val="2"/>
              <c:layout>
                <c:manualLayout>
                  <c:x val="-2.2971014492753624E-2"/>
                  <c:y val="-7.17246281714786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C35-4D6B-8E89-B23FB35752F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table'!$A$40:$A$43</c:f>
              <c:strCache>
                <c:ptCount val="3"/>
                <c:pt idx="0">
                  <c:v>Adolescent</c:v>
                </c:pt>
                <c:pt idx="1">
                  <c:v>Middle Age</c:v>
                </c:pt>
                <c:pt idx="2">
                  <c:v>Old</c:v>
                </c:pt>
              </c:strCache>
            </c:strRef>
          </c:cat>
          <c:val>
            <c:numRef>
              <c:f>'Pivot table'!$B$40:$B$43</c:f>
              <c:numCache>
                <c:formatCode>General</c:formatCode>
                <c:ptCount val="3"/>
                <c:pt idx="0">
                  <c:v>71</c:v>
                </c:pt>
                <c:pt idx="1">
                  <c:v>331</c:v>
                </c:pt>
                <c:pt idx="2">
                  <c:v>117</c:v>
                </c:pt>
              </c:numCache>
            </c:numRef>
          </c:val>
          <c:smooth val="0"/>
          <c:extLst>
            <c:ext xmlns:c16="http://schemas.microsoft.com/office/drawing/2014/chart" uri="{C3380CC4-5D6E-409C-BE32-E72D297353CC}">
              <c16:uniqueId val="{00000000-5B59-4F94-A9A8-C68E31346622}"/>
            </c:ext>
          </c:extLst>
        </c:ser>
        <c:ser>
          <c:idx val="1"/>
          <c:order val="1"/>
          <c:tx>
            <c:strRef>
              <c:f>'Pivot table'!$C$38:$C$39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dLbl>
              <c:idx val="0"/>
              <c:layout>
                <c:manualLayout>
                  <c:x val="-4.0072463768115942E-2"/>
                  <c:y val="3.938648293963254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C35-4D6B-8E89-B23FB35752FD}"/>
                </c:ext>
              </c:extLst>
            </c:dLbl>
            <c:dLbl>
              <c:idx val="1"/>
              <c:layout>
                <c:manualLayout>
                  <c:x val="-5.4637405357589791E-2"/>
                  <c:y val="-3.502502998383485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C35-4D6B-8E89-B23FB35752FD}"/>
                </c:ext>
              </c:extLst>
            </c:dLbl>
            <c:dLbl>
              <c:idx val="2"/>
              <c:layout>
                <c:manualLayout>
                  <c:x val="-2.9202898550724769E-2"/>
                  <c:y val="3.47568533100027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C35-4D6B-8E89-B23FB35752F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table'!$A$40:$A$43</c:f>
              <c:strCache>
                <c:ptCount val="3"/>
                <c:pt idx="0">
                  <c:v>Adolescent</c:v>
                </c:pt>
                <c:pt idx="1">
                  <c:v>Middle Age</c:v>
                </c:pt>
                <c:pt idx="2">
                  <c:v>Old</c:v>
                </c:pt>
              </c:strCache>
            </c:strRef>
          </c:cat>
          <c:val>
            <c:numRef>
              <c:f>'Pivot table'!$C$40:$C$43</c:f>
              <c:numCache>
                <c:formatCode>General</c:formatCode>
                <c:ptCount val="3"/>
                <c:pt idx="0">
                  <c:v>39</c:v>
                </c:pt>
                <c:pt idx="1">
                  <c:v>388</c:v>
                </c:pt>
                <c:pt idx="2">
                  <c:v>54</c:v>
                </c:pt>
              </c:numCache>
            </c:numRef>
          </c:val>
          <c:smooth val="0"/>
          <c:extLst>
            <c:ext xmlns:c16="http://schemas.microsoft.com/office/drawing/2014/chart" uri="{C3380CC4-5D6E-409C-BE32-E72D297353CC}">
              <c16:uniqueId val="{00000001-5B59-4F94-A9A8-C68E31346622}"/>
            </c:ext>
          </c:extLst>
        </c:ser>
        <c:dLbls>
          <c:dLblPos val="t"/>
          <c:showLegendKey val="0"/>
          <c:showVal val="1"/>
          <c:showCatName val="0"/>
          <c:showSerName val="0"/>
          <c:showPercent val="0"/>
          <c:showBubbleSize val="0"/>
        </c:dLbls>
        <c:marker val="1"/>
        <c:smooth val="0"/>
        <c:axId val="393069168"/>
        <c:axId val="393070608"/>
      </c:lineChart>
      <c:catAx>
        <c:axId val="3930691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900" b="1">
                    <a:solidFill>
                      <a:schemeClr val="bg1">
                        <a:lumMod val="50000"/>
                      </a:schemeClr>
                    </a:solidFill>
                  </a:rPr>
                  <a:t>Age</a:t>
                </a:r>
                <a:r>
                  <a:rPr lang="en-IN" sz="900" b="1" baseline="0">
                    <a:solidFill>
                      <a:schemeClr val="bg1">
                        <a:lumMod val="50000"/>
                      </a:schemeClr>
                    </a:solidFill>
                  </a:rPr>
                  <a:t> Bracket</a:t>
                </a:r>
                <a:endParaRPr lang="en-IN" sz="900" b="1">
                  <a:solidFill>
                    <a:schemeClr val="bg1">
                      <a:lumMod val="50000"/>
                    </a:schemeClr>
                  </a:solidFill>
                </a:endParaRPr>
              </a:p>
            </c:rich>
          </c:tx>
          <c:layout>
            <c:manualLayout>
              <c:xMode val="edge"/>
              <c:yMode val="edge"/>
              <c:x val="0.41432046603930606"/>
              <c:y val="0.8748874519824093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3070608"/>
        <c:crosses val="autoZero"/>
        <c:auto val="1"/>
        <c:lblAlgn val="ctr"/>
        <c:lblOffset val="100"/>
        <c:noMultiLvlLbl val="0"/>
      </c:catAx>
      <c:valAx>
        <c:axId val="393070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3069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Dashboard done.xlsx]Pivot table!PivotTable1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lumMod val="95000"/>
                    <a:lumOff val="5000"/>
                  </a:schemeClr>
                </a:solidFill>
                <a:latin typeface="Aptos Display" panose="020B0004020202020204" pitchFamily="34" charset="0"/>
                <a:ea typeface="Segoe UI Black" panose="020B0A02040204020203" pitchFamily="34" charset="0"/>
              </a:rPr>
              <a:t>Avg</a:t>
            </a:r>
            <a:r>
              <a:rPr lang="en-IN" b="1" baseline="0">
                <a:solidFill>
                  <a:schemeClr val="tx1">
                    <a:lumMod val="95000"/>
                    <a:lumOff val="5000"/>
                  </a:schemeClr>
                </a:solidFill>
                <a:latin typeface="Aptos Display" panose="020B0004020202020204" pitchFamily="34" charset="0"/>
                <a:ea typeface="Segoe UI Black" panose="020B0A02040204020203" pitchFamily="34" charset="0"/>
              </a:rPr>
              <a:t> Income Per Purchase</a:t>
            </a:r>
            <a:endParaRPr lang="en-IN" b="1">
              <a:solidFill>
                <a:schemeClr val="tx1">
                  <a:lumMod val="95000"/>
                  <a:lumOff val="5000"/>
                </a:schemeClr>
              </a:solidFill>
              <a:latin typeface="Aptos Display" panose="020B0004020202020204" pitchFamily="34" charset="0"/>
              <a:ea typeface="Segoe UI Black" panose="020B0A02040204020203" pitchFamily="34" charset="0"/>
            </a:endParaRPr>
          </a:p>
        </c:rich>
      </c:tx>
      <c:layout>
        <c:manualLayout>
          <c:xMode val="edge"/>
          <c:yMode val="edge"/>
          <c:x val="0.24195535026943804"/>
          <c:y val="3.168600635446885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table'!$A$5:$A$7</c:f>
              <c:strCache>
                <c:ptCount val="2"/>
                <c:pt idx="0">
                  <c:v>Female</c:v>
                </c:pt>
                <c:pt idx="1">
                  <c:v>Male</c:v>
                </c:pt>
              </c:strCache>
            </c:strRef>
          </c:cat>
          <c:val>
            <c:numRef>
              <c:f>'Pivot table'!$B$5:$B$7</c:f>
              <c:numCache>
                <c:formatCode>[$$-45C]#,##0</c:formatCode>
                <c:ptCount val="2"/>
                <c:pt idx="0">
                  <c:v>53440</c:v>
                </c:pt>
                <c:pt idx="1">
                  <c:v>56208.178438661707</c:v>
                </c:pt>
              </c:numCache>
            </c:numRef>
          </c:val>
          <c:extLst>
            <c:ext xmlns:c16="http://schemas.microsoft.com/office/drawing/2014/chart" uri="{C3380CC4-5D6E-409C-BE32-E72D297353CC}">
              <c16:uniqueId val="{00000000-1F06-4954-9C59-37F255BD0E0F}"/>
            </c:ext>
          </c:extLst>
        </c:ser>
        <c:ser>
          <c:idx val="1"/>
          <c:order val="1"/>
          <c:tx>
            <c:strRef>
              <c:f>'Pivot table'!$C$3:$C$4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table'!$A$5:$A$7</c:f>
              <c:strCache>
                <c:ptCount val="2"/>
                <c:pt idx="0">
                  <c:v>Female</c:v>
                </c:pt>
                <c:pt idx="1">
                  <c:v>Male</c:v>
                </c:pt>
              </c:strCache>
            </c:strRef>
          </c:cat>
          <c:val>
            <c:numRef>
              <c:f>'Pivot table'!$C$5:$C$7</c:f>
              <c:numCache>
                <c:formatCode>[$$-45C]#,##0</c:formatCode>
                <c:ptCount val="2"/>
                <c:pt idx="0">
                  <c:v>55774.058577405856</c:v>
                </c:pt>
                <c:pt idx="1">
                  <c:v>60123.966942148763</c:v>
                </c:pt>
              </c:numCache>
            </c:numRef>
          </c:val>
          <c:extLst>
            <c:ext xmlns:c16="http://schemas.microsoft.com/office/drawing/2014/chart" uri="{C3380CC4-5D6E-409C-BE32-E72D297353CC}">
              <c16:uniqueId val="{00000001-1F06-4954-9C59-37F255BD0E0F}"/>
            </c:ext>
          </c:extLst>
        </c:ser>
        <c:dLbls>
          <c:dLblPos val="outEnd"/>
          <c:showLegendKey val="0"/>
          <c:showVal val="1"/>
          <c:showCatName val="0"/>
          <c:showSerName val="0"/>
          <c:showPercent val="0"/>
          <c:showBubbleSize val="0"/>
        </c:dLbls>
        <c:gapWidth val="219"/>
        <c:overlap val="-27"/>
        <c:axId val="2047730784"/>
        <c:axId val="2047728864"/>
      </c:barChart>
      <c:catAx>
        <c:axId val="2047730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728864"/>
        <c:crosses val="autoZero"/>
        <c:auto val="1"/>
        <c:lblAlgn val="ctr"/>
        <c:lblOffset val="100"/>
        <c:noMultiLvlLbl val="0"/>
      </c:catAx>
      <c:valAx>
        <c:axId val="20477288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5C]#,##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73078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xdr:col>
      <xdr:colOff>30480</xdr:colOff>
      <xdr:row>2</xdr:row>
      <xdr:rowOff>0</xdr:rowOff>
    </xdr:from>
    <xdr:to>
      <xdr:col>11</xdr:col>
      <xdr:colOff>335280</xdr:colOff>
      <xdr:row>17</xdr:row>
      <xdr:rowOff>0</xdr:rowOff>
    </xdr:to>
    <xdr:graphicFrame macro="">
      <xdr:nvGraphicFramePr>
        <xdr:cNvPr id="2" name="Chart 1">
          <a:extLst>
            <a:ext uri="{FF2B5EF4-FFF2-40B4-BE49-F238E27FC236}">
              <a16:creationId xmlns:a16="http://schemas.microsoft.com/office/drawing/2014/main" id="{9666F3D4-4B03-F3BB-71EB-07C68B1D4C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15240</xdr:colOff>
      <xdr:row>19</xdr:row>
      <xdr:rowOff>175260</xdr:rowOff>
    </xdr:from>
    <xdr:to>
      <xdr:col>11</xdr:col>
      <xdr:colOff>320040</xdr:colOff>
      <xdr:row>34</xdr:row>
      <xdr:rowOff>175260</xdr:rowOff>
    </xdr:to>
    <xdr:graphicFrame macro="">
      <xdr:nvGraphicFramePr>
        <xdr:cNvPr id="3" name="Chart 2">
          <a:extLst>
            <a:ext uri="{FF2B5EF4-FFF2-40B4-BE49-F238E27FC236}">
              <a16:creationId xmlns:a16="http://schemas.microsoft.com/office/drawing/2014/main" id="{01D60BDB-ECFF-F6E6-0543-34DB466888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15240</xdr:colOff>
      <xdr:row>37</xdr:row>
      <xdr:rowOff>0</xdr:rowOff>
    </xdr:from>
    <xdr:to>
      <xdr:col>11</xdr:col>
      <xdr:colOff>320040</xdr:colOff>
      <xdr:row>52</xdr:row>
      <xdr:rowOff>0</xdr:rowOff>
    </xdr:to>
    <xdr:graphicFrame macro="">
      <xdr:nvGraphicFramePr>
        <xdr:cNvPr id="4" name="Chart 3">
          <a:extLst>
            <a:ext uri="{FF2B5EF4-FFF2-40B4-BE49-F238E27FC236}">
              <a16:creationId xmlns:a16="http://schemas.microsoft.com/office/drawing/2014/main" id="{BBB9E838-49C5-5AD4-5BB7-633D653722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381000</xdr:colOff>
      <xdr:row>4</xdr:row>
      <xdr:rowOff>45720</xdr:rowOff>
    </xdr:from>
    <xdr:to>
      <xdr:col>15</xdr:col>
      <xdr:colOff>0</xdr:colOff>
      <xdr:row>32</xdr:row>
      <xdr:rowOff>114300</xdr:rowOff>
    </xdr:to>
    <xdr:sp macro="" textlink="">
      <xdr:nvSpPr>
        <xdr:cNvPr id="9" name="Rectangle 8">
          <a:extLst>
            <a:ext uri="{FF2B5EF4-FFF2-40B4-BE49-F238E27FC236}">
              <a16:creationId xmlns:a16="http://schemas.microsoft.com/office/drawing/2014/main" id="{94A2268D-29BC-42A9-84D1-270EB78A0CDB}"/>
            </a:ext>
          </a:extLst>
        </xdr:cNvPr>
        <xdr:cNvSpPr/>
      </xdr:nvSpPr>
      <xdr:spPr>
        <a:xfrm>
          <a:off x="2209800" y="777240"/>
          <a:ext cx="6934200" cy="5189220"/>
        </a:xfrm>
        <a:prstGeom prst="rect">
          <a:avLst/>
        </a:prstGeom>
        <a:solidFill>
          <a:srgbClr val="0070C0"/>
        </a:solidFill>
        <a:ln>
          <a:noFill/>
        </a:ln>
        <a:effectLst>
          <a:outerShdw blurRad="50800" dist="38100" dir="2700000" algn="tl" rotWithShape="0">
            <a:schemeClr val="bg1">
              <a:lumMod val="50000"/>
              <a:alpha val="40000"/>
            </a:schemeClr>
          </a:outerShdw>
          <a:softEdge rad="12700"/>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22860</xdr:colOff>
      <xdr:row>4</xdr:row>
      <xdr:rowOff>45720</xdr:rowOff>
    </xdr:from>
    <xdr:to>
      <xdr:col>3</xdr:col>
      <xdr:colOff>320040</xdr:colOff>
      <xdr:row>32</xdr:row>
      <xdr:rowOff>114300</xdr:rowOff>
    </xdr:to>
    <xdr:sp macro="" textlink="">
      <xdr:nvSpPr>
        <xdr:cNvPr id="2" name="Rectangle 1">
          <a:extLst>
            <a:ext uri="{FF2B5EF4-FFF2-40B4-BE49-F238E27FC236}">
              <a16:creationId xmlns:a16="http://schemas.microsoft.com/office/drawing/2014/main" id="{05D1593E-1A82-CBB1-B45C-F5E8CF40DD00}"/>
            </a:ext>
          </a:extLst>
        </xdr:cNvPr>
        <xdr:cNvSpPr/>
      </xdr:nvSpPr>
      <xdr:spPr>
        <a:xfrm>
          <a:off x="22860" y="777240"/>
          <a:ext cx="2125980" cy="5189220"/>
        </a:xfrm>
        <a:prstGeom prst="rect">
          <a:avLst/>
        </a:prstGeom>
        <a:solidFill>
          <a:srgbClr val="0070C0"/>
        </a:solidFill>
        <a:ln>
          <a:noFill/>
        </a:ln>
        <a:effectLst>
          <a:softEdge rad="12700"/>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426720</xdr:colOff>
      <xdr:row>17</xdr:row>
      <xdr:rowOff>167640</xdr:rowOff>
    </xdr:from>
    <xdr:to>
      <xdr:col>14</xdr:col>
      <xdr:colOff>556260</xdr:colOff>
      <xdr:row>32</xdr:row>
      <xdr:rowOff>0</xdr:rowOff>
    </xdr:to>
    <xdr:graphicFrame macro="">
      <xdr:nvGraphicFramePr>
        <xdr:cNvPr id="3" name="Chart 2">
          <a:extLst>
            <a:ext uri="{FF2B5EF4-FFF2-40B4-BE49-F238E27FC236}">
              <a16:creationId xmlns:a16="http://schemas.microsoft.com/office/drawing/2014/main" id="{F400AE4C-FBB6-461D-8BBE-9EB5F88474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144780</xdr:colOff>
      <xdr:row>4</xdr:row>
      <xdr:rowOff>114300</xdr:rowOff>
    </xdr:from>
    <xdr:to>
      <xdr:col>14</xdr:col>
      <xdr:colOff>533400</xdr:colOff>
      <xdr:row>17</xdr:row>
      <xdr:rowOff>38100</xdr:rowOff>
    </xdr:to>
    <xdr:graphicFrame macro="">
      <xdr:nvGraphicFramePr>
        <xdr:cNvPr id="4" name="Chart 3">
          <a:extLst>
            <a:ext uri="{FF2B5EF4-FFF2-40B4-BE49-F238E27FC236}">
              <a16:creationId xmlns:a16="http://schemas.microsoft.com/office/drawing/2014/main" id="{A4D58FAD-AAA3-47B3-A015-24000260E7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426720</xdr:colOff>
      <xdr:row>4</xdr:row>
      <xdr:rowOff>99060</xdr:rowOff>
    </xdr:from>
    <xdr:to>
      <xdr:col>9</xdr:col>
      <xdr:colOff>68580</xdr:colOff>
      <xdr:row>17</xdr:row>
      <xdr:rowOff>38100</xdr:rowOff>
    </xdr:to>
    <xdr:graphicFrame macro="">
      <xdr:nvGraphicFramePr>
        <xdr:cNvPr id="5" name="Chart 4">
          <a:extLst>
            <a:ext uri="{FF2B5EF4-FFF2-40B4-BE49-F238E27FC236}">
              <a16:creationId xmlns:a16="http://schemas.microsoft.com/office/drawing/2014/main" id="{0C3C5B47-5F32-4BE0-86A3-16D99CA2F3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53340</xdr:colOff>
      <xdr:row>8</xdr:row>
      <xdr:rowOff>60960</xdr:rowOff>
    </xdr:from>
    <xdr:to>
      <xdr:col>3</xdr:col>
      <xdr:colOff>266700</xdr:colOff>
      <xdr:row>13</xdr:row>
      <xdr:rowOff>175259</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5B6E5082-8529-D722-54EF-265423504DCE}"/>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53340" y="1524000"/>
              <a:ext cx="2042160" cy="10286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53340</xdr:colOff>
      <xdr:row>14</xdr:row>
      <xdr:rowOff>175260</xdr:rowOff>
    </xdr:from>
    <xdr:to>
      <xdr:col>3</xdr:col>
      <xdr:colOff>259080</xdr:colOff>
      <xdr:row>24</xdr:row>
      <xdr:rowOff>106681</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FA047F99-EAB0-AB06-F13D-B32322606880}"/>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53340" y="2735580"/>
              <a:ext cx="2034540" cy="17602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25</xdr:row>
      <xdr:rowOff>83820</xdr:rowOff>
    </xdr:from>
    <xdr:to>
      <xdr:col>3</xdr:col>
      <xdr:colOff>247650</xdr:colOff>
      <xdr:row>31</xdr:row>
      <xdr:rowOff>160020</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9D253D77-79B6-4050-9336-31444988F0B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8100" y="4655820"/>
              <a:ext cx="2038350" cy="1173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182880</xdr:colOff>
      <xdr:row>5</xdr:row>
      <xdr:rowOff>175260</xdr:rowOff>
    </xdr:from>
    <xdr:to>
      <xdr:col>3</xdr:col>
      <xdr:colOff>7620</xdr:colOff>
      <xdr:row>8</xdr:row>
      <xdr:rowOff>53340</xdr:rowOff>
    </xdr:to>
    <xdr:sp macro="" textlink="">
      <xdr:nvSpPr>
        <xdr:cNvPr id="10" name="TextBox 9">
          <a:extLst>
            <a:ext uri="{FF2B5EF4-FFF2-40B4-BE49-F238E27FC236}">
              <a16:creationId xmlns:a16="http://schemas.microsoft.com/office/drawing/2014/main" id="{625A6D14-D1ED-868B-63FA-B6DF64C7A6FE}"/>
            </a:ext>
          </a:extLst>
        </xdr:cNvPr>
        <xdr:cNvSpPr txBox="1"/>
      </xdr:nvSpPr>
      <xdr:spPr>
        <a:xfrm>
          <a:off x="182880" y="1089660"/>
          <a:ext cx="1653540" cy="42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tx1">
                  <a:lumMod val="95000"/>
                  <a:lumOff val="5000"/>
                </a:schemeClr>
              </a:solidFill>
              <a:latin typeface="Aptos Display" panose="020B0004020202020204" pitchFamily="34" charset="0"/>
              <a:ea typeface="Segoe UI Black" panose="020B0A02040204020203" pitchFamily="34" charset="0"/>
            </a:rPr>
            <a:t>FILTER</a:t>
          </a:r>
          <a:r>
            <a:rPr lang="en-IN" sz="1400" b="1" baseline="0">
              <a:solidFill>
                <a:schemeClr val="tx1">
                  <a:lumMod val="95000"/>
                  <a:lumOff val="5000"/>
                </a:schemeClr>
              </a:solidFill>
              <a:latin typeface="Aptos Display" panose="020B0004020202020204" pitchFamily="34" charset="0"/>
              <a:ea typeface="Segoe UI Black" panose="020B0A02040204020203" pitchFamily="34" charset="0"/>
            </a:rPr>
            <a:t> PANEL</a:t>
          </a:r>
          <a:endParaRPr lang="en-IN" sz="1400" b="1">
            <a:solidFill>
              <a:schemeClr val="tx1">
                <a:lumMod val="95000"/>
                <a:lumOff val="5000"/>
              </a:schemeClr>
            </a:solidFill>
            <a:latin typeface="Aptos Display" panose="020B0004020202020204" pitchFamily="34" charset="0"/>
            <a:ea typeface="Segoe UI Black" panose="020B0A02040204020203" pitchFamily="34" charset="0"/>
          </a:endParaRPr>
        </a:p>
      </xdr:txBody>
    </xdr:sp>
    <xdr:clientData/>
  </xdr:twoCellAnchor>
  <xdr:twoCellAnchor editAs="oneCell">
    <xdr:from>
      <xdr:col>0</xdr:col>
      <xdr:colOff>106680</xdr:colOff>
      <xdr:row>6</xdr:row>
      <xdr:rowOff>7620</xdr:rowOff>
    </xdr:from>
    <xdr:to>
      <xdr:col>0</xdr:col>
      <xdr:colOff>419100</xdr:colOff>
      <xdr:row>7</xdr:row>
      <xdr:rowOff>137160</xdr:rowOff>
    </xdr:to>
    <xdr:pic>
      <xdr:nvPicPr>
        <xdr:cNvPr id="12" name="Picture 11">
          <a:extLst>
            <a:ext uri="{FF2B5EF4-FFF2-40B4-BE49-F238E27FC236}">
              <a16:creationId xmlns:a16="http://schemas.microsoft.com/office/drawing/2014/main" id="{5D2C3DA5-0256-22E9-7118-5281F8FC259A}"/>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06680" y="1104900"/>
          <a:ext cx="312420" cy="31242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UBHAM KAUSHAL" refreshedDate="45857.714233101855" createdVersion="8" refreshedVersion="8" minRefreshableVersion="3" recordCount="1000" xr:uid="{789A0550-FAE3-4643-8736-7870BC2364C1}">
  <cacheSource type="worksheet">
    <worksheetSource ref="A1:N1001" sheet="Working_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Bracket"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3928336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0"/>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0"/>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0"/>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0"/>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0"/>
    <x v="1"/>
  </r>
  <r>
    <n v="12212"/>
    <x v="0"/>
    <x v="0"/>
    <n v="10000"/>
    <n v="0"/>
    <x v="4"/>
    <s v="Manual"/>
    <s v="Yes"/>
    <n v="0"/>
    <x v="0"/>
    <x v="0"/>
    <x v="34"/>
    <x v="0"/>
    <x v="1"/>
  </r>
  <r>
    <n v="25529"/>
    <x v="1"/>
    <x v="1"/>
    <n v="10000"/>
    <n v="1"/>
    <x v="4"/>
    <s v="Manual"/>
    <s v="Yes"/>
    <n v="0"/>
    <x v="0"/>
    <x v="0"/>
    <x v="20"/>
    <x v="0"/>
    <x v="0"/>
  </r>
  <r>
    <n v="22170"/>
    <x v="0"/>
    <x v="0"/>
    <n v="30000"/>
    <n v="3"/>
    <x v="1"/>
    <s v="Clerical"/>
    <s v="No"/>
    <n v="2"/>
    <x v="3"/>
    <x v="1"/>
    <x v="10"/>
    <x v="0"/>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0"/>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0"/>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0"/>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0"/>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0"/>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0"/>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0"/>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0"/>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0"/>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0"/>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0"/>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0"/>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17A7B2B-976D-49B8-9E5C-9492FDBB75B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8:D43"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2" format="6">
      <pivotArea type="data" outline="0" fieldPosition="0">
        <references count="3">
          <reference field="4294967294" count="1" selected="0">
            <x v="0"/>
          </reference>
          <reference field="12" count="1" selected="0">
            <x v="2"/>
          </reference>
          <reference field="13" count="1" selected="0">
            <x v="0"/>
          </reference>
        </references>
      </pivotArea>
    </chartFormat>
    <chartFormat chart="2" format="7">
      <pivotArea type="data" outline="0" fieldPosition="0">
        <references count="3">
          <reference field="4294967294" count="1" selected="0">
            <x v="0"/>
          </reference>
          <reference field="12" count="1" selected="0">
            <x v="2"/>
          </reference>
          <reference field="13" count="1" selected="0">
            <x v="1"/>
          </reference>
        </references>
      </pivotArea>
    </chartFormat>
    <chartFormat chart="2" format="8">
      <pivotArea type="data" outline="0" fieldPosition="0">
        <references count="3">
          <reference field="4294967294" count="1" selected="0">
            <x v="0"/>
          </reference>
          <reference field="12" count="1" selected="0">
            <x v="0"/>
          </reference>
          <reference field="13" count="1" selected="0">
            <x v="1"/>
          </reference>
        </references>
      </pivotArea>
    </chartFormat>
    <chartFormat chart="2" format="9">
      <pivotArea type="data" outline="0" fieldPosition="0">
        <references count="3">
          <reference field="4294967294" count="1" selected="0">
            <x v="0"/>
          </reference>
          <reference field="12" count="1" selected="0">
            <x v="0"/>
          </reference>
          <reference field="13" count="1" selected="0">
            <x v="0"/>
          </reference>
        </references>
      </pivotArea>
    </chartFormat>
    <chartFormat chart="2" format="10">
      <pivotArea type="data" outline="0" fieldPosition="0">
        <references count="3">
          <reference field="4294967294" count="1" selected="0">
            <x v="0"/>
          </reference>
          <reference field="12" count="1" selected="0">
            <x v="1"/>
          </reference>
          <reference field="13" count="1" selected="0">
            <x v="0"/>
          </reference>
        </references>
      </pivotArea>
    </chartFormat>
    <chartFormat chart="2" format="11">
      <pivotArea type="data" outline="0" fieldPosition="0">
        <references count="3">
          <reference field="4294967294" count="1" selected="0">
            <x v="0"/>
          </reference>
          <reference field="12" count="1" selected="0">
            <x v="1"/>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0E5E831-38D8-4DDB-8E97-2472C9B7FB2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1:D28"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2" format="14">
      <pivotArea type="data" outline="0" fieldPosition="0">
        <references count="3">
          <reference field="4294967294" count="1" selected="0">
            <x v="0"/>
          </reference>
          <reference field="9" count="1" selected="0">
            <x v="0"/>
          </reference>
          <reference field="13" count="1" selected="0">
            <x v="0"/>
          </reference>
        </references>
      </pivotArea>
    </chartFormat>
    <chartFormat chart="2" format="15">
      <pivotArea type="data" outline="0" fieldPosition="0">
        <references count="3">
          <reference field="4294967294" count="1" selected="0">
            <x v="0"/>
          </reference>
          <reference field="9" count="1" selected="0">
            <x v="5"/>
          </reference>
          <reference field="13" count="1" selected="0">
            <x v="1"/>
          </reference>
        </references>
      </pivotArea>
    </chartFormat>
    <chartFormat chart="2" format="16">
      <pivotArea type="data" outline="0" fieldPosition="0">
        <references count="3">
          <reference field="4294967294" count="1" selected="0">
            <x v="0"/>
          </reference>
          <reference field="9" count="1" selected="0">
            <x v="4"/>
          </reference>
          <reference field="13" count="1" selected="0">
            <x v="1"/>
          </reference>
        </references>
      </pivotArea>
    </chartFormat>
    <chartFormat chart="2" format="17">
      <pivotArea type="data" outline="0" fieldPosition="0">
        <references count="3">
          <reference field="4294967294" count="1" selected="0">
            <x v="0"/>
          </reference>
          <reference field="9" count="1" selected="0">
            <x v="2"/>
          </reference>
          <reference field="13" count="1" selected="0">
            <x v="0"/>
          </reference>
        </references>
      </pivotArea>
    </chartFormat>
    <chartFormat chart="2" format="18">
      <pivotArea type="data" outline="0" fieldPosition="0">
        <references count="3">
          <reference field="4294967294" count="1" selected="0">
            <x v="0"/>
          </reference>
          <reference field="9" count="1" selected="0">
            <x v="2"/>
          </reference>
          <reference field="13" count="1" selected="0">
            <x v="1"/>
          </reference>
        </references>
      </pivotArea>
    </chartFormat>
    <chartFormat chart="2" format="19">
      <pivotArea type="data" outline="0" fieldPosition="0">
        <references count="3">
          <reference field="4294967294" count="1" selected="0">
            <x v="0"/>
          </reference>
          <reference field="9" count="1" selected="0">
            <x v="3"/>
          </reference>
          <reference field="1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0048E9A-0A7B-4A4A-949C-B81EDD1683E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 chart="7" format="6" series="1">
      <pivotArea type="data" outline="0" fieldPosition="0">
        <references count="2">
          <reference field="4294967294" count="1" selected="0">
            <x v="0"/>
          </reference>
          <reference field="13" count="1" selected="0">
            <x v="0"/>
          </reference>
        </references>
      </pivotArea>
    </chartFormat>
    <chartFormat chart="7"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6AE6B8A-A17C-4899-9464-9E45D9C093D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54:D109"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91EE3C11-6258-4C06-A211-AC22226EA96D}" sourceName="Marital Status">
  <pivotTables>
    <pivotTable tabId="3" name="PivotTable1"/>
    <pivotTable tabId="3" name="PivotTable2"/>
    <pivotTable tabId="3" name="PivotTable3"/>
    <pivotTable tabId="3" name="PivotTable4"/>
  </pivotTables>
  <data>
    <tabular pivotCacheId="39283369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BCED9CE8-8247-4F2E-9902-B14396F7EEA3}" sourceName="Education">
  <pivotTables>
    <pivotTable tabId="3" name="PivotTable1"/>
    <pivotTable tabId="3" name="PivotTable2"/>
    <pivotTable tabId="3" name="PivotTable3"/>
    <pivotTable tabId="3" name="PivotTable4"/>
  </pivotTables>
  <data>
    <tabular pivotCacheId="392833693">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24B8E50-6F24-48F3-9E7C-28F8DE687378}" sourceName="Region">
  <pivotTables>
    <pivotTable tabId="3" name="PivotTable1"/>
    <pivotTable tabId="3" name="PivotTable2"/>
    <pivotTable tabId="3" name="PivotTable3"/>
    <pivotTable tabId="3" name="PivotTable4"/>
  </pivotTables>
  <data>
    <tabular pivotCacheId="392833693">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517D672A-0A1E-4FB8-9AF5-98943C7AFBA2}" cache="Slicer_Marital_Status" caption="Marital Status" style="SlicerStyleDark1" rowHeight="234950"/>
  <slicer name="Education" xr10:uid="{0FE34F41-389E-4410-9DE3-87CE6BC6CD57}" cache="Slicer_Education" caption="Education" style="SlicerStyleDark1" rowHeight="234950"/>
  <slicer name="Region" xr10:uid="{A064AFD1-BFD7-4934-A6A3-AB7DEB436B08}" cache="Slicer_Region" caption="Region" style="SlicerStyleDark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M1"/>
    </sheetView>
  </sheetViews>
  <sheetFormatPr defaultColWidth="11.88671875" defaultRowHeight="14.4" x14ac:dyDescent="0.3"/>
  <cols>
    <col min="6" max="6" width="16.21875" bestFit="1" customWidth="1"/>
    <col min="7" max="7" width="12.6640625" bestFit="1" customWidth="1"/>
    <col min="8" max="8" width="11.77734375" bestFit="1" customWidth="1"/>
    <col min="10" max="10" width="16.5546875" bestFit="1" customWidth="1"/>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FFD78-78F1-4968-9E1A-47BFA52026C7}">
  <dimension ref="A1:N1001"/>
  <sheetViews>
    <sheetView topLeftCell="A343" workbookViewId="0">
      <selection activeCell="N988" sqref="N988"/>
    </sheetView>
  </sheetViews>
  <sheetFormatPr defaultRowHeight="14.4" x14ac:dyDescent="0.3"/>
  <cols>
    <col min="1" max="1" width="13.21875" customWidth="1"/>
    <col min="2" max="2" width="14.5546875" bestFit="1" customWidth="1"/>
    <col min="4" max="4" width="12.5546875" style="3" bestFit="1" customWidth="1"/>
    <col min="5" max="5" width="9.88671875" bestFit="1" customWidth="1"/>
    <col min="6" max="6" width="16.21875" bestFit="1" customWidth="1"/>
    <col min="7" max="7" width="15.77734375" customWidth="1"/>
    <col min="8" max="8" width="14" bestFit="1" customWidth="1"/>
    <col min="10" max="10" width="18.77734375" bestFit="1" customWidth="1"/>
    <col min="11" max="11" width="12.88671875" bestFit="1" customWidth="1"/>
    <col min="13" max="13" width="13.109375" bestFit="1" customWidth="1"/>
    <col min="14" max="14" width="15.5546875" bestFit="1"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38</v>
      </c>
      <c r="D2" s="3">
        <v>40000</v>
      </c>
      <c r="E2">
        <v>1</v>
      </c>
      <c r="F2" t="s">
        <v>13</v>
      </c>
      <c r="G2" t="s">
        <v>14</v>
      </c>
      <c r="H2" t="s">
        <v>15</v>
      </c>
      <c r="I2">
        <v>0</v>
      </c>
      <c r="J2" t="s">
        <v>16</v>
      </c>
      <c r="K2" t="s">
        <v>17</v>
      </c>
      <c r="L2">
        <v>42</v>
      </c>
      <c r="M2" t="str">
        <f>IF(L2&gt; 55,"Old",IF(L2&gt;=31,"Middle Age",IF(L2&lt;31, "Adolescent","Invalid")))</f>
        <v>Middle Age</v>
      </c>
      <c r="N2" t="s">
        <v>18</v>
      </c>
    </row>
    <row r="3" spans="1:14" x14ac:dyDescent="0.3">
      <c r="A3">
        <v>24107</v>
      </c>
      <c r="B3" t="s">
        <v>36</v>
      </c>
      <c r="C3" t="s">
        <v>39</v>
      </c>
      <c r="D3" s="3">
        <v>30000</v>
      </c>
      <c r="E3">
        <v>3</v>
      </c>
      <c r="F3" t="s">
        <v>19</v>
      </c>
      <c r="G3" t="s">
        <v>20</v>
      </c>
      <c r="H3" t="s">
        <v>15</v>
      </c>
      <c r="I3">
        <v>1</v>
      </c>
      <c r="J3" t="s">
        <v>16</v>
      </c>
      <c r="K3" t="s">
        <v>17</v>
      </c>
      <c r="L3">
        <v>43</v>
      </c>
      <c r="M3" t="str">
        <f t="shared" ref="M3:M66" si="0">IF(L3&gt; 55,"Old",IF(L3&gt;=31,"Middle Age",IF(L3&lt;31, "Adolescent","Invalid")))</f>
        <v>Middle Age</v>
      </c>
      <c r="N3" t="s">
        <v>18</v>
      </c>
    </row>
    <row r="4" spans="1:14" x14ac:dyDescent="0.3">
      <c r="A4">
        <v>14177</v>
      </c>
      <c r="B4" t="s">
        <v>36</v>
      </c>
      <c r="C4" t="s">
        <v>39</v>
      </c>
      <c r="D4" s="3">
        <v>80000</v>
      </c>
      <c r="E4">
        <v>5</v>
      </c>
      <c r="F4" t="s">
        <v>19</v>
      </c>
      <c r="G4" t="s">
        <v>21</v>
      </c>
      <c r="H4" t="s">
        <v>18</v>
      </c>
      <c r="I4">
        <v>2</v>
      </c>
      <c r="J4" t="s">
        <v>22</v>
      </c>
      <c r="K4" t="s">
        <v>17</v>
      </c>
      <c r="L4">
        <v>60</v>
      </c>
      <c r="M4" t="str">
        <f t="shared" si="0"/>
        <v>Old</v>
      </c>
      <c r="N4" t="s">
        <v>18</v>
      </c>
    </row>
    <row r="5" spans="1:14" x14ac:dyDescent="0.3">
      <c r="A5">
        <v>24381</v>
      </c>
      <c r="B5" t="s">
        <v>37</v>
      </c>
      <c r="C5" t="s">
        <v>39</v>
      </c>
      <c r="D5" s="3">
        <v>70000</v>
      </c>
      <c r="E5">
        <v>0</v>
      </c>
      <c r="F5" t="s">
        <v>13</v>
      </c>
      <c r="G5" t="s">
        <v>21</v>
      </c>
      <c r="H5" t="s">
        <v>15</v>
      </c>
      <c r="I5">
        <v>1</v>
      </c>
      <c r="J5" t="s">
        <v>23</v>
      </c>
      <c r="K5" t="s">
        <v>24</v>
      </c>
      <c r="L5">
        <v>41</v>
      </c>
      <c r="M5" t="str">
        <f t="shared" si="0"/>
        <v>Middle Age</v>
      </c>
      <c r="N5" t="s">
        <v>15</v>
      </c>
    </row>
    <row r="6" spans="1:14" x14ac:dyDescent="0.3">
      <c r="A6">
        <v>25597</v>
      </c>
      <c r="B6" t="s">
        <v>37</v>
      </c>
      <c r="C6" t="s">
        <v>39</v>
      </c>
      <c r="D6" s="3">
        <v>30000</v>
      </c>
      <c r="E6">
        <v>0</v>
      </c>
      <c r="F6" t="s">
        <v>13</v>
      </c>
      <c r="G6" t="s">
        <v>20</v>
      </c>
      <c r="H6" t="s">
        <v>18</v>
      </c>
      <c r="I6">
        <v>0</v>
      </c>
      <c r="J6" t="s">
        <v>16</v>
      </c>
      <c r="K6" t="s">
        <v>17</v>
      </c>
      <c r="L6">
        <v>36</v>
      </c>
      <c r="M6" t="str">
        <f t="shared" si="0"/>
        <v>Middle Age</v>
      </c>
      <c r="N6" t="s">
        <v>15</v>
      </c>
    </row>
    <row r="7" spans="1:14" x14ac:dyDescent="0.3">
      <c r="A7">
        <v>13507</v>
      </c>
      <c r="B7" t="s">
        <v>36</v>
      </c>
      <c r="C7" t="s">
        <v>38</v>
      </c>
      <c r="D7" s="3">
        <v>10000</v>
      </c>
      <c r="E7">
        <v>2</v>
      </c>
      <c r="F7" t="s">
        <v>19</v>
      </c>
      <c r="G7" t="s">
        <v>25</v>
      </c>
      <c r="H7" t="s">
        <v>15</v>
      </c>
      <c r="I7">
        <v>0</v>
      </c>
      <c r="J7" t="s">
        <v>26</v>
      </c>
      <c r="K7" t="s">
        <v>17</v>
      </c>
      <c r="L7">
        <v>50</v>
      </c>
      <c r="M7" t="str">
        <f t="shared" si="0"/>
        <v>Middle Age</v>
      </c>
      <c r="N7" t="s">
        <v>18</v>
      </c>
    </row>
    <row r="8" spans="1:14" x14ac:dyDescent="0.3">
      <c r="A8">
        <v>27974</v>
      </c>
      <c r="B8" t="s">
        <v>37</v>
      </c>
      <c r="C8" t="s">
        <v>39</v>
      </c>
      <c r="D8" s="3">
        <v>160000</v>
      </c>
      <c r="E8">
        <v>2</v>
      </c>
      <c r="F8" t="s">
        <v>27</v>
      </c>
      <c r="G8" t="s">
        <v>28</v>
      </c>
      <c r="H8" t="s">
        <v>15</v>
      </c>
      <c r="I8">
        <v>4</v>
      </c>
      <c r="J8" t="s">
        <v>16</v>
      </c>
      <c r="K8" t="s">
        <v>24</v>
      </c>
      <c r="L8">
        <v>33</v>
      </c>
      <c r="M8" t="str">
        <f t="shared" si="0"/>
        <v>Middle Age</v>
      </c>
      <c r="N8" t="s">
        <v>15</v>
      </c>
    </row>
    <row r="9" spans="1:14" x14ac:dyDescent="0.3">
      <c r="A9">
        <v>19364</v>
      </c>
      <c r="B9" t="s">
        <v>36</v>
      </c>
      <c r="C9" t="s">
        <v>39</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38</v>
      </c>
      <c r="D13" s="3">
        <v>90000</v>
      </c>
      <c r="E13">
        <v>0</v>
      </c>
      <c r="F13" t="s">
        <v>13</v>
      </c>
      <c r="G13" t="s">
        <v>21</v>
      </c>
      <c r="H13" t="s">
        <v>18</v>
      </c>
      <c r="I13">
        <v>4</v>
      </c>
      <c r="J13" t="s">
        <v>46</v>
      </c>
      <c r="K13" t="s">
        <v>24</v>
      </c>
      <c r="L13">
        <v>36</v>
      </c>
      <c r="M13" t="str">
        <f t="shared" si="0"/>
        <v>Middle Age</v>
      </c>
      <c r="N13" t="s">
        <v>18</v>
      </c>
    </row>
    <row r="14" spans="1:14" x14ac:dyDescent="0.3">
      <c r="A14">
        <v>11434</v>
      </c>
      <c r="B14" t="s">
        <v>36</v>
      </c>
      <c r="C14" t="s">
        <v>39</v>
      </c>
      <c r="D14" s="3">
        <v>170000</v>
      </c>
      <c r="E14">
        <v>5</v>
      </c>
      <c r="F14" t="s">
        <v>19</v>
      </c>
      <c r="G14" t="s">
        <v>21</v>
      </c>
      <c r="H14" t="s">
        <v>15</v>
      </c>
      <c r="I14">
        <v>0</v>
      </c>
      <c r="J14" t="s">
        <v>16</v>
      </c>
      <c r="K14" t="s">
        <v>17</v>
      </c>
      <c r="L14">
        <v>55</v>
      </c>
      <c r="M14" t="str">
        <f t="shared" si="0"/>
        <v>Middle Age</v>
      </c>
      <c r="N14" t="s">
        <v>18</v>
      </c>
    </row>
    <row r="15" spans="1:14" x14ac:dyDescent="0.3">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39</v>
      </c>
      <c r="D21" s="3">
        <v>20000</v>
      </c>
      <c r="E21">
        <v>2</v>
      </c>
      <c r="F21" t="s">
        <v>29</v>
      </c>
      <c r="G21" t="s">
        <v>20</v>
      </c>
      <c r="H21" t="s">
        <v>15</v>
      </c>
      <c r="I21">
        <v>2</v>
      </c>
      <c r="J21" t="s">
        <v>23</v>
      </c>
      <c r="K21" t="s">
        <v>24</v>
      </c>
      <c r="L21">
        <v>55</v>
      </c>
      <c r="M21" t="str">
        <f t="shared" si="0"/>
        <v>Middle Age</v>
      </c>
      <c r="N21" t="s">
        <v>15</v>
      </c>
    </row>
    <row r="22" spans="1:14" x14ac:dyDescent="0.3">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38</v>
      </c>
      <c r="D23" s="3">
        <v>80000</v>
      </c>
      <c r="E23">
        <v>0</v>
      </c>
      <c r="F23" t="s">
        <v>13</v>
      </c>
      <c r="G23" t="s">
        <v>21</v>
      </c>
      <c r="H23" t="s">
        <v>15</v>
      </c>
      <c r="I23">
        <v>4</v>
      </c>
      <c r="J23" t="s">
        <v>46</v>
      </c>
      <c r="K23" t="s">
        <v>24</v>
      </c>
      <c r="L23">
        <v>35</v>
      </c>
      <c r="M23" t="str">
        <f t="shared" si="0"/>
        <v>Middle Age</v>
      </c>
      <c r="N23" t="s">
        <v>18</v>
      </c>
    </row>
    <row r="24" spans="1:14" x14ac:dyDescent="0.3">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39</v>
      </c>
      <c r="D53" s="3">
        <v>80000</v>
      </c>
      <c r="E53">
        <v>0</v>
      </c>
      <c r="F53" t="s">
        <v>13</v>
      </c>
      <c r="G53" t="s">
        <v>21</v>
      </c>
      <c r="H53" t="s">
        <v>18</v>
      </c>
      <c r="I53">
        <v>4</v>
      </c>
      <c r="J53" t="s">
        <v>46</v>
      </c>
      <c r="K53" t="s">
        <v>24</v>
      </c>
      <c r="L53">
        <v>35</v>
      </c>
      <c r="M53" t="str">
        <f t="shared" si="0"/>
        <v>Middle Age</v>
      </c>
      <c r="N53" t="s">
        <v>18</v>
      </c>
    </row>
    <row r="54" spans="1:14" x14ac:dyDescent="0.3">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39</v>
      </c>
      <c r="D57" s="3">
        <v>80000</v>
      </c>
      <c r="E57">
        <v>4</v>
      </c>
      <c r="F57" t="s">
        <v>27</v>
      </c>
      <c r="G57" t="s">
        <v>21</v>
      </c>
      <c r="H57" t="s">
        <v>15</v>
      </c>
      <c r="I57">
        <v>2</v>
      </c>
      <c r="J57" t="s">
        <v>46</v>
      </c>
      <c r="K57" t="s">
        <v>17</v>
      </c>
      <c r="L57">
        <v>54</v>
      </c>
      <c r="M57" t="str">
        <f t="shared" si="0"/>
        <v>Middle Age</v>
      </c>
      <c r="N57" t="s">
        <v>18</v>
      </c>
    </row>
    <row r="58" spans="1:14" x14ac:dyDescent="0.3">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39</v>
      </c>
      <c r="D65" s="3">
        <v>60000</v>
      </c>
      <c r="E65">
        <v>4</v>
      </c>
      <c r="F65" t="s">
        <v>13</v>
      </c>
      <c r="G65" t="s">
        <v>21</v>
      </c>
      <c r="H65" t="s">
        <v>15</v>
      </c>
      <c r="I65">
        <v>3</v>
      </c>
      <c r="J65" t="s">
        <v>46</v>
      </c>
      <c r="K65" t="s">
        <v>24</v>
      </c>
      <c r="L65">
        <v>41</v>
      </c>
      <c r="M65" t="str">
        <f t="shared" si="0"/>
        <v>Middle Age</v>
      </c>
      <c r="N65" t="s">
        <v>18</v>
      </c>
    </row>
    <row r="66" spans="1:14" x14ac:dyDescent="0.3">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39</v>
      </c>
      <c r="D67" s="3">
        <v>30000</v>
      </c>
      <c r="E67">
        <v>2</v>
      </c>
      <c r="F67" t="s">
        <v>19</v>
      </c>
      <c r="G67" t="s">
        <v>20</v>
      </c>
      <c r="H67" t="s">
        <v>15</v>
      </c>
      <c r="I67">
        <v>2</v>
      </c>
      <c r="J67" t="s">
        <v>23</v>
      </c>
      <c r="K67" t="s">
        <v>24</v>
      </c>
      <c r="L67">
        <v>68</v>
      </c>
      <c r="M67" t="str">
        <f t="shared" ref="M67:M130" si="1">IF(L67&gt; 55,"Old",IF(L67&gt;=31,"Middle Age",IF(L67&lt;31, "Adolescent","Invalid")))</f>
        <v>Old</v>
      </c>
      <c r="N67" t="s">
        <v>18</v>
      </c>
    </row>
    <row r="68" spans="1:14" x14ac:dyDescent="0.3">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39</v>
      </c>
      <c r="D72" s="3">
        <v>120000</v>
      </c>
      <c r="E72">
        <v>0</v>
      </c>
      <c r="F72" t="s">
        <v>29</v>
      </c>
      <c r="G72" t="s">
        <v>21</v>
      </c>
      <c r="H72" t="s">
        <v>15</v>
      </c>
      <c r="I72">
        <v>4</v>
      </c>
      <c r="J72" t="s">
        <v>46</v>
      </c>
      <c r="K72" t="s">
        <v>24</v>
      </c>
      <c r="L72">
        <v>36</v>
      </c>
      <c r="M72" t="str">
        <f t="shared" si="1"/>
        <v>Middle Age</v>
      </c>
      <c r="N72" t="s">
        <v>15</v>
      </c>
    </row>
    <row r="73" spans="1:14" x14ac:dyDescent="0.3">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39</v>
      </c>
      <c r="D79" s="3">
        <v>80000</v>
      </c>
      <c r="E79">
        <v>0</v>
      </c>
      <c r="F79" t="s">
        <v>13</v>
      </c>
      <c r="G79" t="s">
        <v>21</v>
      </c>
      <c r="H79" t="s">
        <v>15</v>
      </c>
      <c r="I79">
        <v>2</v>
      </c>
      <c r="J79" t="s">
        <v>46</v>
      </c>
      <c r="K79" t="s">
        <v>24</v>
      </c>
      <c r="L79">
        <v>29</v>
      </c>
      <c r="M79" t="str">
        <f t="shared" si="1"/>
        <v>Adolescent</v>
      </c>
      <c r="N79" t="s">
        <v>15</v>
      </c>
    </row>
    <row r="80" spans="1:14" x14ac:dyDescent="0.3">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38</v>
      </c>
      <c r="D96" s="3">
        <v>30000</v>
      </c>
      <c r="E96">
        <v>3</v>
      </c>
      <c r="F96" t="s">
        <v>27</v>
      </c>
      <c r="G96" t="s">
        <v>14</v>
      </c>
      <c r="H96" t="s">
        <v>15</v>
      </c>
      <c r="I96">
        <v>2</v>
      </c>
      <c r="J96" t="s">
        <v>23</v>
      </c>
      <c r="K96" t="s">
        <v>24</v>
      </c>
      <c r="L96">
        <v>55</v>
      </c>
      <c r="M96" t="str">
        <f t="shared" si="1"/>
        <v>Middle Age</v>
      </c>
      <c r="N96" t="s">
        <v>18</v>
      </c>
    </row>
    <row r="97" spans="1:14" x14ac:dyDescent="0.3">
      <c r="A97">
        <v>17197</v>
      </c>
      <c r="B97" t="s">
        <v>37</v>
      </c>
      <c r="C97" t="s">
        <v>38</v>
      </c>
      <c r="D97" s="3">
        <v>90000</v>
      </c>
      <c r="E97">
        <v>5</v>
      </c>
      <c r="F97" t="s">
        <v>19</v>
      </c>
      <c r="G97" t="s">
        <v>21</v>
      </c>
      <c r="H97" t="s">
        <v>15</v>
      </c>
      <c r="I97">
        <v>2</v>
      </c>
      <c r="J97" t="s">
        <v>46</v>
      </c>
      <c r="K97" t="s">
        <v>17</v>
      </c>
      <c r="L97">
        <v>62</v>
      </c>
      <c r="M97" t="str">
        <f t="shared" si="1"/>
        <v>Old</v>
      </c>
      <c r="N97" t="s">
        <v>18</v>
      </c>
    </row>
    <row r="98" spans="1:14" x14ac:dyDescent="0.3">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38</v>
      </c>
      <c r="D124" s="3">
        <v>80000</v>
      </c>
      <c r="E124">
        <v>0</v>
      </c>
      <c r="F124" t="s">
        <v>13</v>
      </c>
      <c r="G124" t="s">
        <v>21</v>
      </c>
      <c r="H124" t="s">
        <v>18</v>
      </c>
      <c r="I124">
        <v>3</v>
      </c>
      <c r="J124" t="s">
        <v>46</v>
      </c>
      <c r="K124" t="s">
        <v>24</v>
      </c>
      <c r="L124">
        <v>31</v>
      </c>
      <c r="M124" t="str">
        <f t="shared" si="1"/>
        <v>Middle Age</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f t="shared" ref="M131:M194" si="2">IF(L131&gt; 55,"Old",IF(L131&gt;=31,"Middle Age",IF(L131&lt;31, "Adolescent","Invalid")))</f>
        <v>Middle Age</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38</v>
      </c>
      <c r="D140" s="3">
        <v>20000</v>
      </c>
      <c r="E140">
        <v>2</v>
      </c>
      <c r="F140" t="s">
        <v>29</v>
      </c>
      <c r="G140" t="s">
        <v>20</v>
      </c>
      <c r="H140" t="s">
        <v>15</v>
      </c>
      <c r="I140">
        <v>2</v>
      </c>
      <c r="J140" t="s">
        <v>23</v>
      </c>
      <c r="K140" t="s">
        <v>24</v>
      </c>
      <c r="L140">
        <v>55</v>
      </c>
      <c r="M140" t="str">
        <f t="shared" si="2"/>
        <v>Middle Age</v>
      </c>
      <c r="N140" t="s">
        <v>15</v>
      </c>
    </row>
    <row r="141" spans="1:14" x14ac:dyDescent="0.3">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38</v>
      </c>
      <c r="D145" s="3">
        <v>80000</v>
      </c>
      <c r="E145">
        <v>0</v>
      </c>
      <c r="F145" t="s">
        <v>13</v>
      </c>
      <c r="G145" t="s">
        <v>21</v>
      </c>
      <c r="H145" t="s">
        <v>15</v>
      </c>
      <c r="I145">
        <v>3</v>
      </c>
      <c r="J145" t="s">
        <v>46</v>
      </c>
      <c r="K145" t="s">
        <v>24</v>
      </c>
      <c r="L145">
        <v>32</v>
      </c>
      <c r="M145" t="str">
        <f t="shared" si="2"/>
        <v>Middle Age</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39</v>
      </c>
      <c r="D169" s="3">
        <v>100000</v>
      </c>
      <c r="E169">
        <v>0</v>
      </c>
      <c r="F169" t="s">
        <v>27</v>
      </c>
      <c r="G169" t="s">
        <v>28</v>
      </c>
      <c r="H169" t="s">
        <v>15</v>
      </c>
      <c r="I169">
        <v>3</v>
      </c>
      <c r="J169" t="s">
        <v>46</v>
      </c>
      <c r="K169" t="s">
        <v>24</v>
      </c>
      <c r="L169">
        <v>35</v>
      </c>
      <c r="M169" t="str">
        <f t="shared" si="2"/>
        <v>Middle Age</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39</v>
      </c>
      <c r="D180" s="3">
        <v>160000</v>
      </c>
      <c r="E180">
        <v>4</v>
      </c>
      <c r="F180" t="s">
        <v>19</v>
      </c>
      <c r="G180" t="s">
        <v>21</v>
      </c>
      <c r="H180" t="s">
        <v>18</v>
      </c>
      <c r="I180">
        <v>2</v>
      </c>
      <c r="J180" t="s">
        <v>46</v>
      </c>
      <c r="K180" t="s">
        <v>17</v>
      </c>
      <c r="L180">
        <v>55</v>
      </c>
      <c r="M180" t="str">
        <f t="shared" si="2"/>
        <v>Middle Age</v>
      </c>
      <c r="N180" t="s">
        <v>15</v>
      </c>
    </row>
    <row r="181" spans="1:14" x14ac:dyDescent="0.3">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38</v>
      </c>
      <c r="D183" s="3">
        <v>30000</v>
      </c>
      <c r="E183">
        <v>3</v>
      </c>
      <c r="F183" t="s">
        <v>19</v>
      </c>
      <c r="G183" t="s">
        <v>20</v>
      </c>
      <c r="H183" t="s">
        <v>18</v>
      </c>
      <c r="I183">
        <v>2</v>
      </c>
      <c r="J183" t="s">
        <v>26</v>
      </c>
      <c r="K183" t="s">
        <v>24</v>
      </c>
      <c r="L183">
        <v>55</v>
      </c>
      <c r="M183" t="str">
        <f t="shared" si="2"/>
        <v>Middle Age</v>
      </c>
      <c r="N183" t="s">
        <v>15</v>
      </c>
    </row>
    <row r="184" spans="1:14" x14ac:dyDescent="0.3">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38</v>
      </c>
      <c r="D186" s="3">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39</v>
      </c>
      <c r="D189" s="3">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38</v>
      </c>
      <c r="D190" s="3">
        <v>70000</v>
      </c>
      <c r="E190">
        <v>0</v>
      </c>
      <c r="F190" t="s">
        <v>13</v>
      </c>
      <c r="G190" t="s">
        <v>21</v>
      </c>
      <c r="H190" t="s">
        <v>15</v>
      </c>
      <c r="I190">
        <v>4</v>
      </c>
      <c r="J190" t="s">
        <v>46</v>
      </c>
      <c r="K190" t="s">
        <v>24</v>
      </c>
      <c r="L190">
        <v>32</v>
      </c>
      <c r="M190" t="str">
        <f t="shared" si="2"/>
        <v>Middle Age</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f t="shared" si="2"/>
        <v>Middle Age</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38</v>
      </c>
      <c r="D194" s="3">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38</v>
      </c>
      <c r="D195" s="3">
        <v>70000</v>
      </c>
      <c r="E195">
        <v>5</v>
      </c>
      <c r="F195" t="s">
        <v>13</v>
      </c>
      <c r="G195" t="s">
        <v>21</v>
      </c>
      <c r="H195" t="s">
        <v>15</v>
      </c>
      <c r="I195">
        <v>4</v>
      </c>
      <c r="J195" t="s">
        <v>46</v>
      </c>
      <c r="K195" t="s">
        <v>24</v>
      </c>
      <c r="L195">
        <v>41</v>
      </c>
      <c r="M195" t="str">
        <f t="shared" ref="M195:M258" si="3">IF(L195&gt; 55,"Old",IF(L195&gt;=31,"Middle Age",IF(L195&lt;31, "Adolescent","Invalid")))</f>
        <v>Middle Age</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39</v>
      </c>
      <c r="D201" s="3">
        <v>80000</v>
      </c>
      <c r="E201">
        <v>0</v>
      </c>
      <c r="F201" t="s">
        <v>13</v>
      </c>
      <c r="G201" t="s">
        <v>21</v>
      </c>
      <c r="H201" t="s">
        <v>18</v>
      </c>
      <c r="I201">
        <v>3</v>
      </c>
      <c r="J201" t="s">
        <v>46</v>
      </c>
      <c r="K201" t="s">
        <v>24</v>
      </c>
      <c r="L201">
        <v>33</v>
      </c>
      <c r="M201" t="str">
        <f t="shared" si="3"/>
        <v>Middle Age</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39</v>
      </c>
      <c r="D208" s="3">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39</v>
      </c>
      <c r="D215" s="3">
        <v>70000</v>
      </c>
      <c r="E215">
        <v>0</v>
      </c>
      <c r="F215" t="s">
        <v>13</v>
      </c>
      <c r="G215" t="s">
        <v>21</v>
      </c>
      <c r="H215" t="s">
        <v>18</v>
      </c>
      <c r="I215">
        <v>4</v>
      </c>
      <c r="J215" t="s">
        <v>46</v>
      </c>
      <c r="K215" t="s">
        <v>24</v>
      </c>
      <c r="L215">
        <v>31</v>
      </c>
      <c r="M215" t="str">
        <f t="shared" si="3"/>
        <v>Middle Age</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38</v>
      </c>
      <c r="D225" s="3">
        <v>70000</v>
      </c>
      <c r="E225">
        <v>5</v>
      </c>
      <c r="F225" t="s">
        <v>13</v>
      </c>
      <c r="G225" t="s">
        <v>21</v>
      </c>
      <c r="H225" t="s">
        <v>15</v>
      </c>
      <c r="I225">
        <v>4</v>
      </c>
      <c r="J225" t="s">
        <v>46</v>
      </c>
      <c r="K225" t="s">
        <v>24</v>
      </c>
      <c r="L225">
        <v>39</v>
      </c>
      <c r="M225" t="str">
        <f t="shared" si="3"/>
        <v>Middle Age</v>
      </c>
      <c r="N225" t="s">
        <v>18</v>
      </c>
    </row>
    <row r="226" spans="1:14" x14ac:dyDescent="0.3">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39</v>
      </c>
      <c r="D231" s="3">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39</v>
      </c>
      <c r="D232" s="3">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39</v>
      </c>
      <c r="D236" s="3">
        <v>90000</v>
      </c>
      <c r="E236">
        <v>0</v>
      </c>
      <c r="F236" t="s">
        <v>13</v>
      </c>
      <c r="G236" t="s">
        <v>21</v>
      </c>
      <c r="H236" t="s">
        <v>18</v>
      </c>
      <c r="I236">
        <v>4</v>
      </c>
      <c r="J236" t="s">
        <v>46</v>
      </c>
      <c r="K236" t="s">
        <v>24</v>
      </c>
      <c r="L236">
        <v>35</v>
      </c>
      <c r="M236" t="str">
        <f t="shared" si="3"/>
        <v>Middle Age</v>
      </c>
      <c r="N236" t="s">
        <v>15</v>
      </c>
    </row>
    <row r="237" spans="1:14" x14ac:dyDescent="0.3">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38</v>
      </c>
      <c r="D246" s="3">
        <v>120000</v>
      </c>
      <c r="E246">
        <v>3</v>
      </c>
      <c r="F246" t="s">
        <v>13</v>
      </c>
      <c r="G246" t="s">
        <v>28</v>
      </c>
      <c r="H246" t="s">
        <v>18</v>
      </c>
      <c r="I246">
        <v>2</v>
      </c>
      <c r="J246" t="s">
        <v>46</v>
      </c>
      <c r="K246" t="s">
        <v>17</v>
      </c>
      <c r="L246">
        <v>52</v>
      </c>
      <c r="M246" t="str">
        <f t="shared" si="3"/>
        <v>Middle Age</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38</v>
      </c>
      <c r="D249" s="3">
        <v>100000</v>
      </c>
      <c r="E249">
        <v>0</v>
      </c>
      <c r="F249" t="s">
        <v>27</v>
      </c>
      <c r="G249" t="s">
        <v>28</v>
      </c>
      <c r="H249" t="s">
        <v>15</v>
      </c>
      <c r="I249">
        <v>4</v>
      </c>
      <c r="J249" t="s">
        <v>46</v>
      </c>
      <c r="K249" t="s">
        <v>24</v>
      </c>
      <c r="L249">
        <v>34</v>
      </c>
      <c r="M249" t="str">
        <f t="shared" si="3"/>
        <v>Middle Age</v>
      </c>
      <c r="N249" t="s">
        <v>15</v>
      </c>
    </row>
    <row r="250" spans="1:14" x14ac:dyDescent="0.3">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f t="shared" si="3"/>
        <v>Middle Age</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39</v>
      </c>
      <c r="D255" s="3">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f t="shared" ref="M259:M322" si="4">IF(L259&gt; 55,"Old",IF(L259&gt;=31,"Middle Age",IF(L259&lt;31, "Adolescent","Invalid")))</f>
        <v>Middle Age</v>
      </c>
      <c r="N259" t="s">
        <v>15</v>
      </c>
    </row>
    <row r="260" spans="1:14" x14ac:dyDescent="0.3">
      <c r="A260">
        <v>14193</v>
      </c>
      <c r="B260" t="s">
        <v>37</v>
      </c>
      <c r="C260" t="s">
        <v>38</v>
      </c>
      <c r="D260" s="3">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38</v>
      </c>
      <c r="D265" s="3">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39</v>
      </c>
      <c r="D280" s="3">
        <v>100000</v>
      </c>
      <c r="E280">
        <v>0</v>
      </c>
      <c r="F280" t="s">
        <v>27</v>
      </c>
      <c r="G280" t="s">
        <v>28</v>
      </c>
      <c r="H280" t="s">
        <v>15</v>
      </c>
      <c r="I280">
        <v>3</v>
      </c>
      <c r="J280" t="s">
        <v>46</v>
      </c>
      <c r="K280" t="s">
        <v>24</v>
      </c>
      <c r="L280">
        <v>35</v>
      </c>
      <c r="M280" t="str">
        <f t="shared" si="4"/>
        <v>Middle Age</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38</v>
      </c>
      <c r="D297" s="3">
        <v>110000</v>
      </c>
      <c r="E297">
        <v>0</v>
      </c>
      <c r="F297" t="s">
        <v>19</v>
      </c>
      <c r="G297" t="s">
        <v>28</v>
      </c>
      <c r="H297" t="s">
        <v>15</v>
      </c>
      <c r="I297">
        <v>3</v>
      </c>
      <c r="J297" t="s">
        <v>46</v>
      </c>
      <c r="K297" t="s">
        <v>24</v>
      </c>
      <c r="L297">
        <v>32</v>
      </c>
      <c r="M297" t="str">
        <f t="shared" si="4"/>
        <v>Middle Age</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39</v>
      </c>
      <c r="D320" s="3">
        <v>130000</v>
      </c>
      <c r="E320">
        <v>4</v>
      </c>
      <c r="F320" t="s">
        <v>19</v>
      </c>
      <c r="G320" t="s">
        <v>21</v>
      </c>
      <c r="H320" t="s">
        <v>18</v>
      </c>
      <c r="I320">
        <v>3</v>
      </c>
      <c r="J320" t="s">
        <v>46</v>
      </c>
      <c r="K320" t="s">
        <v>17</v>
      </c>
      <c r="L320">
        <v>54</v>
      </c>
      <c r="M320" t="str">
        <f t="shared" si="4"/>
        <v>Middle Age</v>
      </c>
      <c r="N320" t="s">
        <v>18</v>
      </c>
    </row>
    <row r="321" spans="1:14" x14ac:dyDescent="0.3">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f t="shared" ref="M323:M386" si="5">IF(L323&gt; 55,"Old",IF(L323&gt;=31,"Middle Age",IF(L323&lt;31, "Adolescent","Invalid")))</f>
        <v>Middle Age</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38</v>
      </c>
      <c r="D331" s="3">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38</v>
      </c>
      <c r="D332" s="3">
        <v>80000</v>
      </c>
      <c r="E332">
        <v>0</v>
      </c>
      <c r="F332" t="s">
        <v>13</v>
      </c>
      <c r="G332" t="s">
        <v>21</v>
      </c>
      <c r="H332" t="s">
        <v>15</v>
      </c>
      <c r="I332">
        <v>3</v>
      </c>
      <c r="J332" t="s">
        <v>46</v>
      </c>
      <c r="K332" t="s">
        <v>24</v>
      </c>
      <c r="L332">
        <v>32</v>
      </c>
      <c r="M332" t="str">
        <f t="shared" si="5"/>
        <v>Middle Age</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39</v>
      </c>
      <c r="D357" s="3">
        <v>80000</v>
      </c>
      <c r="E357">
        <v>0</v>
      </c>
      <c r="F357" t="s">
        <v>13</v>
      </c>
      <c r="G357" t="s">
        <v>21</v>
      </c>
      <c r="H357" t="s">
        <v>15</v>
      </c>
      <c r="I357">
        <v>3</v>
      </c>
      <c r="J357" t="s">
        <v>46</v>
      </c>
      <c r="K357" t="s">
        <v>24</v>
      </c>
      <c r="L357">
        <v>32</v>
      </c>
      <c r="M357" t="str">
        <f t="shared" si="5"/>
        <v>Middle Age</v>
      </c>
      <c r="N357" t="s">
        <v>18</v>
      </c>
    </row>
    <row r="358" spans="1:14" x14ac:dyDescent="0.3">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39</v>
      </c>
      <c r="D361" s="3">
        <v>80000</v>
      </c>
      <c r="E361">
        <v>0</v>
      </c>
      <c r="F361" t="s">
        <v>13</v>
      </c>
      <c r="G361" t="s">
        <v>21</v>
      </c>
      <c r="H361" t="s">
        <v>15</v>
      </c>
      <c r="I361">
        <v>3</v>
      </c>
      <c r="J361" t="s">
        <v>46</v>
      </c>
      <c r="K361" t="s">
        <v>24</v>
      </c>
      <c r="L361">
        <v>30</v>
      </c>
      <c r="M361" t="str">
        <f t="shared" si="5"/>
        <v>Adolescent</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38</v>
      </c>
      <c r="D372" s="3">
        <v>100000</v>
      </c>
      <c r="E372">
        <v>4</v>
      </c>
      <c r="F372" t="s">
        <v>13</v>
      </c>
      <c r="G372" t="s">
        <v>21</v>
      </c>
      <c r="H372" t="s">
        <v>15</v>
      </c>
      <c r="I372">
        <v>1</v>
      </c>
      <c r="J372" t="s">
        <v>46</v>
      </c>
      <c r="K372" t="s">
        <v>24</v>
      </c>
      <c r="L372">
        <v>46</v>
      </c>
      <c r="M372" t="str">
        <f t="shared" si="5"/>
        <v>Middle Age</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39</v>
      </c>
      <c r="D382" s="3">
        <v>70000</v>
      </c>
      <c r="E382">
        <v>0</v>
      </c>
      <c r="F382" t="s">
        <v>13</v>
      </c>
      <c r="G382" t="s">
        <v>21</v>
      </c>
      <c r="H382" t="s">
        <v>18</v>
      </c>
      <c r="I382">
        <v>3</v>
      </c>
      <c r="J382" t="s">
        <v>46</v>
      </c>
      <c r="K382" t="s">
        <v>24</v>
      </c>
      <c r="L382">
        <v>30</v>
      </c>
      <c r="M382" t="str">
        <f t="shared" si="5"/>
        <v>Adolescent</v>
      </c>
      <c r="N382" t="s">
        <v>15</v>
      </c>
    </row>
    <row r="383" spans="1:14" x14ac:dyDescent="0.3">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39</v>
      </c>
      <c r="D384" s="3">
        <v>80000</v>
      </c>
      <c r="E384">
        <v>4</v>
      </c>
      <c r="F384" t="s">
        <v>19</v>
      </c>
      <c r="G384" t="s">
        <v>21</v>
      </c>
      <c r="H384" t="s">
        <v>15</v>
      </c>
      <c r="I384">
        <v>2</v>
      </c>
      <c r="J384" t="s">
        <v>46</v>
      </c>
      <c r="K384" t="s">
        <v>17</v>
      </c>
      <c r="L384">
        <v>53</v>
      </c>
      <c r="M384" t="str">
        <f t="shared" si="5"/>
        <v>Middle Age</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f t="shared" ref="M387:M450" si="6">IF(L387&gt; 55,"Old",IF(L387&gt;=31,"Middle Age",IF(L387&lt;31, "Adolescent","Invalid")))</f>
        <v>Middle Age</v>
      </c>
      <c r="N387" t="s">
        <v>18</v>
      </c>
    </row>
    <row r="388" spans="1:14" x14ac:dyDescent="0.3">
      <c r="A388">
        <v>28957</v>
      </c>
      <c r="B388" t="s">
        <v>37</v>
      </c>
      <c r="C388" t="s">
        <v>38</v>
      </c>
      <c r="D388" s="3">
        <v>120000</v>
      </c>
      <c r="E388">
        <v>0</v>
      </c>
      <c r="F388" t="s">
        <v>29</v>
      </c>
      <c r="G388" t="s">
        <v>21</v>
      </c>
      <c r="H388" t="s">
        <v>15</v>
      </c>
      <c r="I388">
        <v>4</v>
      </c>
      <c r="J388" t="s">
        <v>46</v>
      </c>
      <c r="K388" t="s">
        <v>24</v>
      </c>
      <c r="L388">
        <v>34</v>
      </c>
      <c r="M388" t="str">
        <f t="shared" si="6"/>
        <v>Middle Age</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38</v>
      </c>
      <c r="D402" s="3">
        <v>110000</v>
      </c>
      <c r="E402">
        <v>3</v>
      </c>
      <c r="F402" t="s">
        <v>13</v>
      </c>
      <c r="G402" t="s">
        <v>28</v>
      </c>
      <c r="H402" t="s">
        <v>15</v>
      </c>
      <c r="I402">
        <v>4</v>
      </c>
      <c r="J402" t="s">
        <v>46</v>
      </c>
      <c r="K402" t="s">
        <v>17</v>
      </c>
      <c r="L402">
        <v>53</v>
      </c>
      <c r="M402" t="str">
        <f t="shared" si="6"/>
        <v>Middle Age</v>
      </c>
      <c r="N402" t="s">
        <v>18</v>
      </c>
    </row>
    <row r="403" spans="1:14" x14ac:dyDescent="0.3">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38</v>
      </c>
      <c r="D422" s="3">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39</v>
      </c>
      <c r="D424" s="3">
        <v>110000</v>
      </c>
      <c r="E424">
        <v>0</v>
      </c>
      <c r="F424" t="s">
        <v>19</v>
      </c>
      <c r="G424" t="s">
        <v>28</v>
      </c>
      <c r="H424" t="s">
        <v>18</v>
      </c>
      <c r="I424">
        <v>3</v>
      </c>
      <c r="J424" t="s">
        <v>46</v>
      </c>
      <c r="K424" t="s">
        <v>24</v>
      </c>
      <c r="L424">
        <v>32</v>
      </c>
      <c r="M424" t="str">
        <f t="shared" si="6"/>
        <v>Middle Age</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38</v>
      </c>
      <c r="D432" s="3">
        <v>30000</v>
      </c>
      <c r="E432">
        <v>3</v>
      </c>
      <c r="F432" t="s">
        <v>27</v>
      </c>
      <c r="G432" t="s">
        <v>14</v>
      </c>
      <c r="H432" t="s">
        <v>15</v>
      </c>
      <c r="I432">
        <v>2</v>
      </c>
      <c r="J432" t="s">
        <v>23</v>
      </c>
      <c r="K432" t="s">
        <v>24</v>
      </c>
      <c r="L432">
        <v>55</v>
      </c>
      <c r="M432" t="str">
        <f t="shared" si="6"/>
        <v>Middle Age</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38</v>
      </c>
      <c r="D434" s="3">
        <v>110000</v>
      </c>
      <c r="E434">
        <v>0</v>
      </c>
      <c r="F434" t="s">
        <v>27</v>
      </c>
      <c r="G434" t="s">
        <v>28</v>
      </c>
      <c r="H434" t="s">
        <v>15</v>
      </c>
      <c r="I434">
        <v>3</v>
      </c>
      <c r="J434" t="s">
        <v>46</v>
      </c>
      <c r="K434" t="s">
        <v>24</v>
      </c>
      <c r="L434">
        <v>34</v>
      </c>
      <c r="M434" t="str">
        <f t="shared" si="6"/>
        <v>Middle Age</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39</v>
      </c>
      <c r="D442" s="3">
        <v>90000</v>
      </c>
      <c r="E442">
        <v>0</v>
      </c>
      <c r="F442" t="s">
        <v>13</v>
      </c>
      <c r="G442" t="s">
        <v>21</v>
      </c>
      <c r="H442" t="s">
        <v>18</v>
      </c>
      <c r="I442">
        <v>3</v>
      </c>
      <c r="J442" t="s">
        <v>46</v>
      </c>
      <c r="K442" t="s">
        <v>24</v>
      </c>
      <c r="L442">
        <v>34</v>
      </c>
      <c r="M442" t="str">
        <f t="shared" si="6"/>
        <v>Middle Age</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38</v>
      </c>
      <c r="D448" s="3">
        <v>130000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f t="shared" ref="M451:M514" si="7">IF(L451&gt; 55,"Old",IF(L451&gt;=31,"Middle Age",IF(L451&lt;31, "Adolescent","Invalid")))</f>
        <v>Middle Age</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39</v>
      </c>
      <c r="D460" s="3">
        <v>120000</v>
      </c>
      <c r="E460">
        <v>0</v>
      </c>
      <c r="F460" t="s">
        <v>29</v>
      </c>
      <c r="G460" t="s">
        <v>21</v>
      </c>
      <c r="H460" t="s">
        <v>15</v>
      </c>
      <c r="I460">
        <v>4</v>
      </c>
      <c r="J460" t="s">
        <v>46</v>
      </c>
      <c r="K460" t="s">
        <v>24</v>
      </c>
      <c r="L460">
        <v>32</v>
      </c>
      <c r="M460" t="str">
        <f t="shared" si="7"/>
        <v>Middle Age</v>
      </c>
      <c r="N460" t="s">
        <v>15</v>
      </c>
    </row>
    <row r="461" spans="1:14" x14ac:dyDescent="0.3">
      <c r="A461">
        <v>21554</v>
      </c>
      <c r="B461" t="s">
        <v>37</v>
      </c>
      <c r="C461" t="s">
        <v>38</v>
      </c>
      <c r="D461" s="3">
        <v>80000</v>
      </c>
      <c r="E461">
        <v>0</v>
      </c>
      <c r="F461" t="s">
        <v>13</v>
      </c>
      <c r="G461" t="s">
        <v>21</v>
      </c>
      <c r="H461" t="s">
        <v>18</v>
      </c>
      <c r="I461">
        <v>3</v>
      </c>
      <c r="J461" t="s">
        <v>46</v>
      </c>
      <c r="K461" t="s">
        <v>24</v>
      </c>
      <c r="L461">
        <v>33</v>
      </c>
      <c r="M461" t="str">
        <f t="shared" si="7"/>
        <v>Middle Age</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38</v>
      </c>
      <c r="D488" s="3">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39</v>
      </c>
      <c r="D495" s="3">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39</v>
      </c>
      <c r="D497" s="3">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38</v>
      </c>
      <c r="D515" s="3">
        <v>60000</v>
      </c>
      <c r="E515">
        <v>4</v>
      </c>
      <c r="F515" t="s">
        <v>31</v>
      </c>
      <c r="G515" t="s">
        <v>28</v>
      </c>
      <c r="H515" t="s">
        <v>15</v>
      </c>
      <c r="I515">
        <v>2</v>
      </c>
      <c r="J515" t="s">
        <v>46</v>
      </c>
      <c r="K515" t="s">
        <v>32</v>
      </c>
      <c r="L515">
        <v>61</v>
      </c>
      <c r="M515" t="str">
        <f t="shared" ref="M515:M578" si="8">IF(L515&gt; 55,"Old",IF(L515&gt;=31,"Middle Age",IF(L515&lt;31, "Adolescent","Invalid")))</f>
        <v>Old</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39</v>
      </c>
      <c r="D523" s="3">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39</v>
      </c>
      <c r="D527" s="3">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39</v>
      </c>
      <c r="D531" s="3">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39</v>
      </c>
      <c r="D535" s="3">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39</v>
      </c>
      <c r="D536" s="3">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39</v>
      </c>
      <c r="D537" s="3">
        <v>50000</v>
      </c>
      <c r="E537">
        <v>3</v>
      </c>
      <c r="F537" t="s">
        <v>13</v>
      </c>
      <c r="G537" t="s">
        <v>14</v>
      </c>
      <c r="H537" t="s">
        <v>15</v>
      </c>
      <c r="I537">
        <v>3</v>
      </c>
      <c r="J537" t="s">
        <v>46</v>
      </c>
      <c r="K537" t="s">
        <v>32</v>
      </c>
      <c r="L537">
        <v>41</v>
      </c>
      <c r="M537" t="str">
        <f t="shared" si="8"/>
        <v>Middle Age</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f t="shared" si="8"/>
        <v>Middle Age</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38</v>
      </c>
      <c r="D553" s="3">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39</v>
      </c>
      <c r="D554" s="3">
        <v>60000</v>
      </c>
      <c r="E554">
        <v>3</v>
      </c>
      <c r="F554" t="s">
        <v>27</v>
      </c>
      <c r="G554" t="s">
        <v>21</v>
      </c>
      <c r="H554" t="s">
        <v>15</v>
      </c>
      <c r="I554">
        <v>2</v>
      </c>
      <c r="J554" t="s">
        <v>46</v>
      </c>
      <c r="K554" t="s">
        <v>32</v>
      </c>
      <c r="L554">
        <v>54</v>
      </c>
      <c r="M554" t="str">
        <f t="shared" si="8"/>
        <v>Middle Age</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38</v>
      </c>
      <c r="D561" s="3">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39</v>
      </c>
      <c r="D571" s="3">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f t="shared" si="8"/>
        <v>Middle Age</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39</v>
      </c>
      <c r="D577" s="3">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f t="shared" ref="M579:M642" si="9">IF(L579&gt; 55,"Old",IF(L579&gt;=31,"Middle Age",IF(L579&lt;31, "Adolescent","Invalid")))</f>
        <v>Middle Age</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38</v>
      </c>
      <c r="D582" s="3">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39</v>
      </c>
      <c r="D585" s="3">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38</v>
      </c>
      <c r="D590" s="3">
        <v>90000</v>
      </c>
      <c r="E590">
        <v>2</v>
      </c>
      <c r="F590" t="s">
        <v>27</v>
      </c>
      <c r="G590" t="s">
        <v>21</v>
      </c>
      <c r="H590" t="s">
        <v>15</v>
      </c>
      <c r="I590">
        <v>1</v>
      </c>
      <c r="J590" t="s">
        <v>46</v>
      </c>
      <c r="K590" t="s">
        <v>32</v>
      </c>
      <c r="L590">
        <v>51</v>
      </c>
      <c r="M590" t="str">
        <f t="shared" si="9"/>
        <v>Middle Age</v>
      </c>
      <c r="N590" t="s">
        <v>15</v>
      </c>
    </row>
    <row r="591" spans="1:14" x14ac:dyDescent="0.3">
      <c r="A591">
        <v>12100</v>
      </c>
      <c r="B591" t="s">
        <v>37</v>
      </c>
      <c r="C591" t="s">
        <v>39</v>
      </c>
      <c r="D591" s="3">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39</v>
      </c>
      <c r="D593" s="3">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38</v>
      </c>
      <c r="D609" s="3">
        <v>70000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38</v>
      </c>
      <c r="D625" s="3">
        <v>70000</v>
      </c>
      <c r="E625">
        <v>4</v>
      </c>
      <c r="F625" t="s">
        <v>19</v>
      </c>
      <c r="G625" t="s">
        <v>21</v>
      </c>
      <c r="H625" t="s">
        <v>15</v>
      </c>
      <c r="I625">
        <v>1</v>
      </c>
      <c r="J625" t="s">
        <v>26</v>
      </c>
      <c r="K625" t="s">
        <v>32</v>
      </c>
      <c r="L625">
        <v>55</v>
      </c>
      <c r="M625" t="str">
        <f t="shared" si="9"/>
        <v>Middle Age</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39</v>
      </c>
      <c r="D643" s="3">
        <v>50000</v>
      </c>
      <c r="E643">
        <v>4</v>
      </c>
      <c r="F643" t="s">
        <v>13</v>
      </c>
      <c r="G643" t="s">
        <v>28</v>
      </c>
      <c r="H643" t="s">
        <v>15</v>
      </c>
      <c r="I643">
        <v>2</v>
      </c>
      <c r="J643" t="s">
        <v>46</v>
      </c>
      <c r="K643" t="s">
        <v>32</v>
      </c>
      <c r="L643">
        <v>64</v>
      </c>
      <c r="M643" t="str">
        <f t="shared" ref="M643:M706" si="10">IF(L643&gt; 55,"Old",IF(L643&gt;=31,"Middle Age",IF(L643&lt;31, "Adolescent","Invalid")))</f>
        <v>Old</v>
      </c>
      <c r="N643" t="s">
        <v>18</v>
      </c>
    </row>
    <row r="644" spans="1:14" x14ac:dyDescent="0.3">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38</v>
      </c>
      <c r="D646" s="3">
        <v>60000</v>
      </c>
      <c r="E646">
        <v>5</v>
      </c>
      <c r="F646" t="s">
        <v>13</v>
      </c>
      <c r="G646" t="s">
        <v>14</v>
      </c>
      <c r="H646" t="s">
        <v>15</v>
      </c>
      <c r="I646">
        <v>3</v>
      </c>
      <c r="J646" t="s">
        <v>46</v>
      </c>
      <c r="K646" t="s">
        <v>32</v>
      </c>
      <c r="L646">
        <v>41</v>
      </c>
      <c r="M646" t="str">
        <f t="shared" si="10"/>
        <v>Middle Age</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38</v>
      </c>
      <c r="D652" s="3">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38</v>
      </c>
      <c r="D661" s="3">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38</v>
      </c>
      <c r="D669" s="3">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39</v>
      </c>
      <c r="D672" s="3">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39</v>
      </c>
      <c r="D681" s="3">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38</v>
      </c>
      <c r="D707" s="3">
        <v>70000</v>
      </c>
      <c r="E707">
        <v>4</v>
      </c>
      <c r="F707" t="s">
        <v>13</v>
      </c>
      <c r="G707" t="s">
        <v>28</v>
      </c>
      <c r="H707" t="s">
        <v>15</v>
      </c>
      <c r="I707">
        <v>1</v>
      </c>
      <c r="J707" t="s">
        <v>46</v>
      </c>
      <c r="K707" t="s">
        <v>32</v>
      </c>
      <c r="L707">
        <v>59</v>
      </c>
      <c r="M707" t="str">
        <f t="shared" ref="M707:M770" si="11">IF(L707&gt; 55,"Old",IF(L707&gt;=31,"Middle Age",IF(L707&lt;31, "Adolescent","Invalid")))</f>
        <v>Old</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39</v>
      </c>
      <c r="D710" s="3">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38</v>
      </c>
      <c r="D711" s="3">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38</v>
      </c>
      <c r="D713" s="3">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38</v>
      </c>
      <c r="D741" s="3">
        <v>60000</v>
      </c>
      <c r="E741">
        <v>2</v>
      </c>
      <c r="F741" t="s">
        <v>19</v>
      </c>
      <c r="G741" t="s">
        <v>21</v>
      </c>
      <c r="H741" t="s">
        <v>15</v>
      </c>
      <c r="I741">
        <v>1</v>
      </c>
      <c r="J741" t="s">
        <v>46</v>
      </c>
      <c r="K741" t="s">
        <v>32</v>
      </c>
      <c r="L741">
        <v>55</v>
      </c>
      <c r="M741" t="str">
        <f t="shared" si="11"/>
        <v>Middle Age</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38</v>
      </c>
      <c r="D746" s="3">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38</v>
      </c>
      <c r="D748" s="3">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38</v>
      </c>
      <c r="D763" s="3">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39</v>
      </c>
      <c r="D768" s="3">
        <v>50000</v>
      </c>
      <c r="E768">
        <v>4</v>
      </c>
      <c r="F768" t="s">
        <v>13</v>
      </c>
      <c r="G768" t="s">
        <v>14</v>
      </c>
      <c r="H768" t="s">
        <v>15</v>
      </c>
      <c r="I768">
        <v>3</v>
      </c>
      <c r="J768" t="s">
        <v>46</v>
      </c>
      <c r="K768" t="s">
        <v>32</v>
      </c>
      <c r="L768">
        <v>42</v>
      </c>
      <c r="M768" t="str">
        <f t="shared" si="11"/>
        <v>Middle Age</v>
      </c>
      <c r="N768" t="s">
        <v>18</v>
      </c>
    </row>
    <row r="769" spans="1:14" x14ac:dyDescent="0.3">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tr">
        <f t="shared" ref="M771:M834" si="12">IF(L771&gt; 55,"Old",IF(L771&gt;=31,"Middle Age",IF(L771&lt;31, "Adolescent","Invalid")))</f>
        <v>Middle Age</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f t="shared" si="12"/>
        <v>Middle Age</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39</v>
      </c>
      <c r="D777" s="3">
        <v>70000</v>
      </c>
      <c r="E777">
        <v>2</v>
      </c>
      <c r="F777" t="s">
        <v>29</v>
      </c>
      <c r="G777" t="s">
        <v>14</v>
      </c>
      <c r="H777" t="s">
        <v>15</v>
      </c>
      <c r="I777">
        <v>2</v>
      </c>
      <c r="J777" t="s">
        <v>46</v>
      </c>
      <c r="K777" t="s">
        <v>32</v>
      </c>
      <c r="L777">
        <v>54</v>
      </c>
      <c r="M777" t="str">
        <f t="shared" si="12"/>
        <v>Middle Age</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38</v>
      </c>
      <c r="D782" s="3">
        <v>60000</v>
      </c>
      <c r="E782">
        <v>2</v>
      </c>
      <c r="F782" t="s">
        <v>19</v>
      </c>
      <c r="G782" t="s">
        <v>21</v>
      </c>
      <c r="H782" t="s">
        <v>15</v>
      </c>
      <c r="I782">
        <v>1</v>
      </c>
      <c r="J782" t="s">
        <v>46</v>
      </c>
      <c r="K782" t="s">
        <v>32</v>
      </c>
      <c r="L782">
        <v>55</v>
      </c>
      <c r="M782" t="str">
        <f t="shared" si="12"/>
        <v>Middle Age</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38</v>
      </c>
      <c r="D814" s="3">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38</v>
      </c>
      <c r="D815" s="3">
        <v>70000</v>
      </c>
      <c r="E815">
        <v>2</v>
      </c>
      <c r="F815" t="s">
        <v>27</v>
      </c>
      <c r="G815" t="s">
        <v>21</v>
      </c>
      <c r="H815" t="s">
        <v>15</v>
      </c>
      <c r="I815">
        <v>2</v>
      </c>
      <c r="J815" t="s">
        <v>46</v>
      </c>
      <c r="K815" t="s">
        <v>32</v>
      </c>
      <c r="L815">
        <v>53</v>
      </c>
      <c r="M815" t="str">
        <f t="shared" si="12"/>
        <v>Middle Age</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f t="shared" ref="M835:M898" si="13">IF(L835&gt; 55,"Old",IF(L835&gt;=31,"Middle Age",IF(L835&lt;31, "Adolescent","Invalid")))</f>
        <v>Middle Age</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39</v>
      </c>
      <c r="D842" s="3">
        <v>70000</v>
      </c>
      <c r="E842">
        <v>4</v>
      </c>
      <c r="F842" t="s">
        <v>19</v>
      </c>
      <c r="G842" t="s">
        <v>21</v>
      </c>
      <c r="H842" t="s">
        <v>15</v>
      </c>
      <c r="I842">
        <v>2</v>
      </c>
      <c r="J842" t="s">
        <v>46</v>
      </c>
      <c r="K842" t="s">
        <v>32</v>
      </c>
      <c r="L842">
        <v>53</v>
      </c>
      <c r="M842" t="str">
        <f t="shared" si="13"/>
        <v>Middle Age</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38</v>
      </c>
      <c r="D846" s="3">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39</v>
      </c>
      <c r="D868" s="3">
        <v>60000</v>
      </c>
      <c r="E868">
        <v>2</v>
      </c>
      <c r="F868" t="s">
        <v>27</v>
      </c>
      <c r="G868" t="s">
        <v>21</v>
      </c>
      <c r="H868" t="s">
        <v>15</v>
      </c>
      <c r="I868">
        <v>2</v>
      </c>
      <c r="J868" t="s">
        <v>46</v>
      </c>
      <c r="K868" t="s">
        <v>32</v>
      </c>
      <c r="L868">
        <v>55</v>
      </c>
      <c r="M868" t="str">
        <f t="shared" si="13"/>
        <v>Middle Age</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39</v>
      </c>
      <c r="D870" s="3">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39</v>
      </c>
      <c r="D873" s="3">
        <v>60000</v>
      </c>
      <c r="E873">
        <v>2</v>
      </c>
      <c r="F873" t="s">
        <v>27</v>
      </c>
      <c r="G873" t="s">
        <v>21</v>
      </c>
      <c r="H873" t="s">
        <v>15</v>
      </c>
      <c r="I873">
        <v>2</v>
      </c>
      <c r="J873" t="s">
        <v>46</v>
      </c>
      <c r="K873" t="s">
        <v>32</v>
      </c>
      <c r="L873">
        <v>55</v>
      </c>
      <c r="M873" t="str">
        <f t="shared" si="13"/>
        <v>Middle Age</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f t="shared" ref="M899:M962" si="14">IF(L899&gt; 55,"Old",IF(L899&gt;=31,"Middle Age",IF(L899&lt;31, "Adolescent","Invalid")))</f>
        <v>Adolescent</v>
      </c>
      <c r="N899" t="s">
        <v>18</v>
      </c>
    </row>
    <row r="900" spans="1:14" x14ac:dyDescent="0.3">
      <c r="A900">
        <v>18066</v>
      </c>
      <c r="B900" t="s">
        <v>37</v>
      </c>
      <c r="C900" t="s">
        <v>39</v>
      </c>
      <c r="D900" s="3">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38</v>
      </c>
      <c r="D901" s="3">
        <v>70000</v>
      </c>
      <c r="E901">
        <v>5</v>
      </c>
      <c r="F901" t="s">
        <v>31</v>
      </c>
      <c r="G901" t="s">
        <v>21</v>
      </c>
      <c r="H901" t="s">
        <v>15</v>
      </c>
      <c r="I901">
        <v>3</v>
      </c>
      <c r="J901" t="s">
        <v>46</v>
      </c>
      <c r="K901" t="s">
        <v>32</v>
      </c>
      <c r="L901">
        <v>46</v>
      </c>
      <c r="M901" t="str">
        <f t="shared" si="14"/>
        <v>Middle Age</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39</v>
      </c>
      <c r="D909" s="3">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39</v>
      </c>
      <c r="D917" s="3">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38</v>
      </c>
      <c r="D921" s="3">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38</v>
      </c>
      <c r="D928" s="3">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39</v>
      </c>
      <c r="D932" s="3">
        <v>70000</v>
      </c>
      <c r="E932">
        <v>5</v>
      </c>
      <c r="F932" t="s">
        <v>31</v>
      </c>
      <c r="G932" t="s">
        <v>21</v>
      </c>
      <c r="H932" t="s">
        <v>18</v>
      </c>
      <c r="I932">
        <v>3</v>
      </c>
      <c r="J932" t="s">
        <v>46</v>
      </c>
      <c r="K932" t="s">
        <v>32</v>
      </c>
      <c r="L932">
        <v>47</v>
      </c>
      <c r="M932" t="str">
        <f t="shared" si="14"/>
        <v>Middle Age</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39</v>
      </c>
      <c r="D951" s="3">
        <v>70000</v>
      </c>
      <c r="E951">
        <v>2</v>
      </c>
      <c r="F951" t="s">
        <v>29</v>
      </c>
      <c r="G951" t="s">
        <v>14</v>
      </c>
      <c r="H951" t="s">
        <v>15</v>
      </c>
      <c r="I951">
        <v>2</v>
      </c>
      <c r="J951" t="s">
        <v>46</v>
      </c>
      <c r="K951" t="s">
        <v>32</v>
      </c>
      <c r="L951">
        <v>53</v>
      </c>
      <c r="M951" t="str">
        <f t="shared" si="14"/>
        <v>Middle Age</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38</v>
      </c>
      <c r="D963" s="3">
        <v>120000</v>
      </c>
      <c r="E963">
        <v>2</v>
      </c>
      <c r="F963" t="s">
        <v>13</v>
      </c>
      <c r="G963" t="s">
        <v>28</v>
      </c>
      <c r="H963" t="s">
        <v>15</v>
      </c>
      <c r="I963">
        <v>3</v>
      </c>
      <c r="J963" t="s">
        <v>23</v>
      </c>
      <c r="K963" t="s">
        <v>32</v>
      </c>
      <c r="L963">
        <v>62</v>
      </c>
      <c r="M963" t="str">
        <f t="shared" ref="M963:M1001" si="15">IF(L963&gt; 55,"Old",IF(L963&gt;=31,"Middle Age",IF(L963&lt;31, "Adolescent","Invalid")))</f>
        <v>Old</v>
      </c>
      <c r="N963" t="s">
        <v>18</v>
      </c>
    </row>
    <row r="964" spans="1:14" x14ac:dyDescent="0.3">
      <c r="A964">
        <v>16813</v>
      </c>
      <c r="B964" t="s">
        <v>36</v>
      </c>
      <c r="C964" t="s">
        <v>39</v>
      </c>
      <c r="D964" s="3">
        <v>60000</v>
      </c>
      <c r="E964">
        <v>2</v>
      </c>
      <c r="F964" t="s">
        <v>19</v>
      </c>
      <c r="G964" t="s">
        <v>21</v>
      </c>
      <c r="H964" t="s">
        <v>15</v>
      </c>
      <c r="I964">
        <v>2</v>
      </c>
      <c r="J964" t="s">
        <v>46</v>
      </c>
      <c r="K964" t="s">
        <v>32</v>
      </c>
      <c r="L964">
        <v>55</v>
      </c>
      <c r="M964" t="str">
        <f t="shared" si="15"/>
        <v>Middle Age</v>
      </c>
      <c r="N964" t="s">
        <v>18</v>
      </c>
    </row>
    <row r="965" spans="1:14" x14ac:dyDescent="0.3">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39</v>
      </c>
      <c r="D966" s="3">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38</v>
      </c>
      <c r="D978" s="3">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38</v>
      </c>
      <c r="D982" s="3">
        <v>80000</v>
      </c>
      <c r="E982">
        <v>3</v>
      </c>
      <c r="F982" t="s">
        <v>13</v>
      </c>
      <c r="G982" t="s">
        <v>14</v>
      </c>
      <c r="H982" t="s">
        <v>15</v>
      </c>
      <c r="I982">
        <v>3</v>
      </c>
      <c r="J982" t="s">
        <v>46</v>
      </c>
      <c r="K982" t="s">
        <v>32</v>
      </c>
      <c r="L982">
        <v>40</v>
      </c>
      <c r="M982" t="str">
        <f t="shared" si="15"/>
        <v>Middle Age</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39</v>
      </c>
      <c r="D988" s="3">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38</v>
      </c>
      <c r="D989" s="3">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39</v>
      </c>
      <c r="D990" s="3">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39</v>
      </c>
      <c r="D991" s="3">
        <v>60000</v>
      </c>
      <c r="E991">
        <v>4</v>
      </c>
      <c r="F991" t="s">
        <v>13</v>
      </c>
      <c r="G991" t="s">
        <v>14</v>
      </c>
      <c r="H991" t="s">
        <v>18</v>
      </c>
      <c r="I991">
        <v>3</v>
      </c>
      <c r="J991" t="s">
        <v>46</v>
      </c>
      <c r="K991" t="s">
        <v>32</v>
      </c>
      <c r="L991">
        <v>42</v>
      </c>
      <c r="M991" t="str">
        <f t="shared" si="15"/>
        <v>Middle Age</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39</v>
      </c>
      <c r="D1001" s="3">
        <v>60000</v>
      </c>
      <c r="E1001">
        <v>3</v>
      </c>
      <c r="F1001" t="s">
        <v>27</v>
      </c>
      <c r="G1001" t="s">
        <v>21</v>
      </c>
      <c r="H1001" t="s">
        <v>15</v>
      </c>
      <c r="I1001">
        <v>2</v>
      </c>
      <c r="J1001" t="s">
        <v>46</v>
      </c>
      <c r="K1001" t="s">
        <v>32</v>
      </c>
      <c r="L1001">
        <v>53</v>
      </c>
      <c r="M1001" t="str">
        <f t="shared" si="15"/>
        <v>Middle Age</v>
      </c>
      <c r="N1001" t="s">
        <v>15</v>
      </c>
    </row>
  </sheetData>
  <autoFilter ref="A1:N1001" xr:uid="{210FFD78-78F1-4968-9E1A-47BFA52026C7}"/>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2AB14-D3AD-441F-ACAA-02B0AE74D291}">
  <dimension ref="A3:D109"/>
  <sheetViews>
    <sheetView workbookViewId="0">
      <selection activeCell="B63" sqref="B63"/>
    </sheetView>
  </sheetViews>
  <sheetFormatPr defaultRowHeight="14.4" x14ac:dyDescent="0.3"/>
  <cols>
    <col min="1" max="1" width="17" bestFit="1" customWidth="1"/>
    <col min="2" max="2" width="15.5546875" bestFit="1" customWidth="1"/>
    <col min="3" max="3" width="7.5546875" bestFit="1" customWidth="1"/>
    <col min="4" max="4" width="10.77734375" bestFit="1" customWidth="1"/>
  </cols>
  <sheetData>
    <row r="3" spans="1:4" x14ac:dyDescent="0.3">
      <c r="A3" s="4" t="s">
        <v>43</v>
      </c>
      <c r="B3" s="4" t="s">
        <v>44</v>
      </c>
    </row>
    <row r="4" spans="1:4" x14ac:dyDescent="0.3">
      <c r="A4" s="4" t="s">
        <v>41</v>
      </c>
      <c r="B4" t="s">
        <v>18</v>
      </c>
      <c r="C4" t="s">
        <v>15</v>
      </c>
      <c r="D4" t="s">
        <v>42</v>
      </c>
    </row>
    <row r="5" spans="1:4" x14ac:dyDescent="0.3">
      <c r="A5" s="5" t="s">
        <v>38</v>
      </c>
      <c r="B5" s="3">
        <v>53440</v>
      </c>
      <c r="C5" s="3">
        <v>55774.058577405856</v>
      </c>
      <c r="D5" s="3">
        <v>54580.777096114522</v>
      </c>
    </row>
    <row r="6" spans="1:4" x14ac:dyDescent="0.3">
      <c r="A6" s="5" t="s">
        <v>39</v>
      </c>
      <c r="B6" s="3">
        <v>56208.178438661707</v>
      </c>
      <c r="C6" s="3">
        <v>60123.966942148763</v>
      </c>
      <c r="D6" s="3">
        <v>58062.62230919765</v>
      </c>
    </row>
    <row r="7" spans="1:4" x14ac:dyDescent="0.3">
      <c r="A7" s="5" t="s">
        <v>42</v>
      </c>
      <c r="B7" s="3">
        <v>54874.759152215796</v>
      </c>
      <c r="C7" s="3">
        <v>57962.577962577961</v>
      </c>
      <c r="D7" s="3">
        <v>56360</v>
      </c>
    </row>
    <row r="21" spans="1:4" x14ac:dyDescent="0.3">
      <c r="A21" s="4" t="s">
        <v>45</v>
      </c>
      <c r="B21" s="4" t="s">
        <v>44</v>
      </c>
    </row>
    <row r="22" spans="1:4" x14ac:dyDescent="0.3">
      <c r="A22" s="4" t="s">
        <v>41</v>
      </c>
      <c r="B22" t="s">
        <v>18</v>
      </c>
      <c r="C22" t="s">
        <v>15</v>
      </c>
      <c r="D22" t="s">
        <v>42</v>
      </c>
    </row>
    <row r="23" spans="1:4" x14ac:dyDescent="0.3">
      <c r="A23" s="5" t="s">
        <v>16</v>
      </c>
      <c r="B23" s="8">
        <v>166</v>
      </c>
      <c r="C23" s="8">
        <v>200</v>
      </c>
      <c r="D23" s="8">
        <v>366</v>
      </c>
    </row>
    <row r="24" spans="1:4" x14ac:dyDescent="0.3">
      <c r="A24" s="5" t="s">
        <v>26</v>
      </c>
      <c r="B24" s="8">
        <v>92</v>
      </c>
      <c r="C24" s="8">
        <v>77</v>
      </c>
      <c r="D24" s="8">
        <v>169</v>
      </c>
    </row>
    <row r="25" spans="1:4" x14ac:dyDescent="0.3">
      <c r="A25" s="5" t="s">
        <v>22</v>
      </c>
      <c r="B25" s="8">
        <v>67</v>
      </c>
      <c r="C25" s="8">
        <v>95</v>
      </c>
      <c r="D25" s="8">
        <v>162</v>
      </c>
    </row>
    <row r="26" spans="1:4" x14ac:dyDescent="0.3">
      <c r="A26" s="5" t="s">
        <v>23</v>
      </c>
      <c r="B26" s="8">
        <v>116</v>
      </c>
      <c r="C26" s="8">
        <v>76</v>
      </c>
      <c r="D26" s="8">
        <v>192</v>
      </c>
    </row>
    <row r="27" spans="1:4" x14ac:dyDescent="0.3">
      <c r="A27" s="5" t="s">
        <v>46</v>
      </c>
      <c r="B27" s="8">
        <v>78</v>
      </c>
      <c r="C27" s="8">
        <v>33</v>
      </c>
      <c r="D27" s="8">
        <v>111</v>
      </c>
    </row>
    <row r="28" spans="1:4" x14ac:dyDescent="0.3">
      <c r="A28" s="5" t="s">
        <v>42</v>
      </c>
      <c r="B28" s="8">
        <v>519</v>
      </c>
      <c r="C28" s="8">
        <v>481</v>
      </c>
      <c r="D28" s="8">
        <v>1000</v>
      </c>
    </row>
    <row r="38" spans="1:4" x14ac:dyDescent="0.3">
      <c r="A38" s="4" t="s">
        <v>45</v>
      </c>
      <c r="B38" s="4" t="s">
        <v>44</v>
      </c>
    </row>
    <row r="39" spans="1:4" x14ac:dyDescent="0.3">
      <c r="A39" s="4" t="s">
        <v>41</v>
      </c>
      <c r="B39" t="s">
        <v>18</v>
      </c>
      <c r="C39" t="s">
        <v>15</v>
      </c>
      <c r="D39" t="s">
        <v>42</v>
      </c>
    </row>
    <row r="40" spans="1:4" x14ac:dyDescent="0.3">
      <c r="A40" s="5" t="s">
        <v>47</v>
      </c>
      <c r="B40" s="8">
        <v>71</v>
      </c>
      <c r="C40" s="8">
        <v>39</v>
      </c>
      <c r="D40" s="8">
        <v>110</v>
      </c>
    </row>
    <row r="41" spans="1:4" x14ac:dyDescent="0.3">
      <c r="A41" s="5" t="s">
        <v>48</v>
      </c>
      <c r="B41" s="8">
        <v>331</v>
      </c>
      <c r="C41" s="8">
        <v>388</v>
      </c>
      <c r="D41" s="8">
        <v>719</v>
      </c>
    </row>
    <row r="42" spans="1:4" x14ac:dyDescent="0.3">
      <c r="A42" s="5" t="s">
        <v>49</v>
      </c>
      <c r="B42" s="8">
        <v>117</v>
      </c>
      <c r="C42" s="8">
        <v>54</v>
      </c>
      <c r="D42" s="8">
        <v>171</v>
      </c>
    </row>
    <row r="43" spans="1:4" x14ac:dyDescent="0.3">
      <c r="A43" s="5" t="s">
        <v>42</v>
      </c>
      <c r="B43" s="8">
        <v>519</v>
      </c>
      <c r="C43" s="8">
        <v>481</v>
      </c>
      <c r="D43" s="8">
        <v>1000</v>
      </c>
    </row>
    <row r="54" spans="1:4" x14ac:dyDescent="0.3">
      <c r="A54" s="4" t="s">
        <v>45</v>
      </c>
      <c r="B54" s="4" t="s">
        <v>44</v>
      </c>
    </row>
    <row r="55" spans="1:4" x14ac:dyDescent="0.3">
      <c r="A55" s="4" t="s">
        <v>41</v>
      </c>
      <c r="B55" t="s">
        <v>18</v>
      </c>
      <c r="C55" t="s">
        <v>15</v>
      </c>
      <c r="D55" t="s">
        <v>42</v>
      </c>
    </row>
    <row r="56" spans="1:4" x14ac:dyDescent="0.3">
      <c r="A56" s="5">
        <v>25</v>
      </c>
      <c r="B56" s="8">
        <v>2</v>
      </c>
      <c r="C56" s="8">
        <v>4</v>
      </c>
      <c r="D56" s="8">
        <v>6</v>
      </c>
    </row>
    <row r="57" spans="1:4" x14ac:dyDescent="0.3">
      <c r="A57" s="5">
        <v>26</v>
      </c>
      <c r="B57" s="8">
        <v>8</v>
      </c>
      <c r="C57" s="8">
        <v>8</v>
      </c>
      <c r="D57" s="8">
        <v>16</v>
      </c>
    </row>
    <row r="58" spans="1:4" x14ac:dyDescent="0.3">
      <c r="A58" s="5">
        <v>27</v>
      </c>
      <c r="B58" s="8">
        <v>15</v>
      </c>
      <c r="C58" s="8">
        <v>8</v>
      </c>
      <c r="D58" s="8">
        <v>23</v>
      </c>
    </row>
    <row r="59" spans="1:4" x14ac:dyDescent="0.3">
      <c r="A59" s="5">
        <v>28</v>
      </c>
      <c r="B59" s="8">
        <v>12</v>
      </c>
      <c r="C59" s="8">
        <v>10</v>
      </c>
      <c r="D59" s="8">
        <v>22</v>
      </c>
    </row>
    <row r="60" spans="1:4" x14ac:dyDescent="0.3">
      <c r="A60" s="5">
        <v>29</v>
      </c>
      <c r="B60" s="8">
        <v>11</v>
      </c>
      <c r="C60" s="8">
        <v>5</v>
      </c>
      <c r="D60" s="8">
        <v>16</v>
      </c>
    </row>
    <row r="61" spans="1:4" x14ac:dyDescent="0.3">
      <c r="A61" s="5">
        <v>30</v>
      </c>
      <c r="B61" s="8">
        <v>23</v>
      </c>
      <c r="C61" s="8">
        <v>4</v>
      </c>
      <c r="D61" s="8">
        <v>27</v>
      </c>
    </row>
    <row r="62" spans="1:4" x14ac:dyDescent="0.3">
      <c r="A62" s="5">
        <v>31</v>
      </c>
      <c r="B62" s="8">
        <v>17</v>
      </c>
      <c r="C62" s="8">
        <v>8</v>
      </c>
      <c r="D62" s="8">
        <v>25</v>
      </c>
    </row>
    <row r="63" spans="1:4" x14ac:dyDescent="0.3">
      <c r="A63" s="5">
        <v>32</v>
      </c>
      <c r="B63" s="8">
        <v>19</v>
      </c>
      <c r="C63" s="8">
        <v>14</v>
      </c>
      <c r="D63" s="8">
        <v>33</v>
      </c>
    </row>
    <row r="64" spans="1:4" x14ac:dyDescent="0.3">
      <c r="A64" s="5">
        <v>33</v>
      </c>
      <c r="B64" s="8">
        <v>8</v>
      </c>
      <c r="C64" s="8">
        <v>13</v>
      </c>
      <c r="D64" s="8">
        <v>21</v>
      </c>
    </row>
    <row r="65" spans="1:4" x14ac:dyDescent="0.3">
      <c r="A65" s="5">
        <v>34</v>
      </c>
      <c r="B65" s="8">
        <v>12</v>
      </c>
      <c r="C65" s="8">
        <v>19</v>
      </c>
      <c r="D65" s="8">
        <v>31</v>
      </c>
    </row>
    <row r="66" spans="1:4" x14ac:dyDescent="0.3">
      <c r="A66" s="5">
        <v>35</v>
      </c>
      <c r="B66" s="8">
        <v>14</v>
      </c>
      <c r="C66" s="8">
        <v>22</v>
      </c>
      <c r="D66" s="8">
        <v>36</v>
      </c>
    </row>
    <row r="67" spans="1:4" x14ac:dyDescent="0.3">
      <c r="A67" s="5">
        <v>36</v>
      </c>
      <c r="B67" s="8">
        <v>7</v>
      </c>
      <c r="C67" s="8">
        <v>30</v>
      </c>
      <c r="D67" s="8">
        <v>37</v>
      </c>
    </row>
    <row r="68" spans="1:4" x14ac:dyDescent="0.3">
      <c r="A68" s="5">
        <v>37</v>
      </c>
      <c r="B68" s="8">
        <v>4</v>
      </c>
      <c r="C68" s="8">
        <v>28</v>
      </c>
      <c r="D68" s="8">
        <v>32</v>
      </c>
    </row>
    <row r="69" spans="1:4" x14ac:dyDescent="0.3">
      <c r="A69" s="5">
        <v>38</v>
      </c>
      <c r="B69" s="8">
        <v>8</v>
      </c>
      <c r="C69" s="8">
        <v>29</v>
      </c>
      <c r="D69" s="8">
        <v>37</v>
      </c>
    </row>
    <row r="70" spans="1:4" x14ac:dyDescent="0.3">
      <c r="A70" s="5">
        <v>39</v>
      </c>
      <c r="B70" s="8">
        <v>10</v>
      </c>
      <c r="C70" s="8">
        <v>12</v>
      </c>
      <c r="D70" s="8">
        <v>22</v>
      </c>
    </row>
    <row r="71" spans="1:4" x14ac:dyDescent="0.3">
      <c r="A71" s="5">
        <v>40</v>
      </c>
      <c r="B71" s="8">
        <v>24</v>
      </c>
      <c r="C71" s="8">
        <v>18</v>
      </c>
      <c r="D71" s="8">
        <v>42</v>
      </c>
    </row>
    <row r="72" spans="1:4" x14ac:dyDescent="0.3">
      <c r="A72" s="5">
        <v>41</v>
      </c>
      <c r="B72" s="8">
        <v>13</v>
      </c>
      <c r="C72" s="8">
        <v>15</v>
      </c>
      <c r="D72" s="8">
        <v>28</v>
      </c>
    </row>
    <row r="73" spans="1:4" x14ac:dyDescent="0.3">
      <c r="A73" s="5">
        <v>42</v>
      </c>
      <c r="B73" s="8">
        <v>22</v>
      </c>
      <c r="C73" s="8">
        <v>12</v>
      </c>
      <c r="D73" s="8">
        <v>34</v>
      </c>
    </row>
    <row r="74" spans="1:4" x14ac:dyDescent="0.3">
      <c r="A74" s="5">
        <v>43</v>
      </c>
      <c r="B74" s="8">
        <v>17</v>
      </c>
      <c r="C74" s="8">
        <v>19</v>
      </c>
      <c r="D74" s="8">
        <v>36</v>
      </c>
    </row>
    <row r="75" spans="1:4" x14ac:dyDescent="0.3">
      <c r="A75" s="5">
        <v>44</v>
      </c>
      <c r="B75" s="8">
        <v>15</v>
      </c>
      <c r="C75" s="8">
        <v>12</v>
      </c>
      <c r="D75" s="8">
        <v>27</v>
      </c>
    </row>
    <row r="76" spans="1:4" x14ac:dyDescent="0.3">
      <c r="A76" s="5">
        <v>45</v>
      </c>
      <c r="B76" s="8">
        <v>18</v>
      </c>
      <c r="C76" s="8">
        <v>13</v>
      </c>
      <c r="D76" s="8">
        <v>31</v>
      </c>
    </row>
    <row r="77" spans="1:4" x14ac:dyDescent="0.3">
      <c r="A77" s="5">
        <v>46</v>
      </c>
      <c r="B77" s="8">
        <v>12</v>
      </c>
      <c r="C77" s="8">
        <v>15</v>
      </c>
      <c r="D77" s="8">
        <v>27</v>
      </c>
    </row>
    <row r="78" spans="1:4" x14ac:dyDescent="0.3">
      <c r="A78" s="5">
        <v>47</v>
      </c>
      <c r="B78" s="8">
        <v>19</v>
      </c>
      <c r="C78" s="8">
        <v>20</v>
      </c>
      <c r="D78" s="8">
        <v>39</v>
      </c>
    </row>
    <row r="79" spans="1:4" x14ac:dyDescent="0.3">
      <c r="A79" s="5">
        <v>48</v>
      </c>
      <c r="B79" s="8">
        <v>16</v>
      </c>
      <c r="C79" s="8">
        <v>13</v>
      </c>
      <c r="D79" s="8">
        <v>29</v>
      </c>
    </row>
    <row r="80" spans="1:4" x14ac:dyDescent="0.3">
      <c r="A80" s="5">
        <v>49</v>
      </c>
      <c r="B80" s="8">
        <v>15</v>
      </c>
      <c r="C80" s="8">
        <v>8</v>
      </c>
      <c r="D80" s="8">
        <v>23</v>
      </c>
    </row>
    <row r="81" spans="1:4" x14ac:dyDescent="0.3">
      <c r="A81" s="5">
        <v>50</v>
      </c>
      <c r="B81" s="8">
        <v>12</v>
      </c>
      <c r="C81" s="8">
        <v>12</v>
      </c>
      <c r="D81" s="8">
        <v>24</v>
      </c>
    </row>
    <row r="82" spans="1:4" x14ac:dyDescent="0.3">
      <c r="A82" s="5">
        <v>51</v>
      </c>
      <c r="B82" s="8">
        <v>10</v>
      </c>
      <c r="C82" s="8">
        <v>12</v>
      </c>
      <c r="D82" s="8">
        <v>22</v>
      </c>
    </row>
    <row r="83" spans="1:4" x14ac:dyDescent="0.3">
      <c r="A83" s="5">
        <v>52</v>
      </c>
      <c r="B83" s="8">
        <v>10</v>
      </c>
      <c r="C83" s="8">
        <v>15</v>
      </c>
      <c r="D83" s="8">
        <v>25</v>
      </c>
    </row>
    <row r="84" spans="1:4" x14ac:dyDescent="0.3">
      <c r="A84" s="5">
        <v>53</v>
      </c>
      <c r="B84" s="8">
        <v>11</v>
      </c>
      <c r="C84" s="8">
        <v>13</v>
      </c>
      <c r="D84" s="8">
        <v>24</v>
      </c>
    </row>
    <row r="85" spans="1:4" x14ac:dyDescent="0.3">
      <c r="A85" s="5">
        <v>54</v>
      </c>
      <c r="B85" s="8">
        <v>5</v>
      </c>
      <c r="C85" s="8">
        <v>11</v>
      </c>
      <c r="D85" s="8">
        <v>16</v>
      </c>
    </row>
    <row r="86" spans="1:4" x14ac:dyDescent="0.3">
      <c r="A86" s="5">
        <v>55</v>
      </c>
      <c r="B86" s="8">
        <v>13</v>
      </c>
      <c r="C86" s="8">
        <v>5</v>
      </c>
      <c r="D86" s="8">
        <v>18</v>
      </c>
    </row>
    <row r="87" spans="1:4" x14ac:dyDescent="0.3">
      <c r="A87" s="5">
        <v>56</v>
      </c>
      <c r="B87" s="8">
        <v>13</v>
      </c>
      <c r="C87" s="8">
        <v>3</v>
      </c>
      <c r="D87" s="8">
        <v>16</v>
      </c>
    </row>
    <row r="88" spans="1:4" x14ac:dyDescent="0.3">
      <c r="A88" s="5">
        <v>57</v>
      </c>
      <c r="B88" s="8">
        <v>4</v>
      </c>
      <c r="C88" s="8">
        <v>4</v>
      </c>
      <c r="D88" s="8">
        <v>8</v>
      </c>
    </row>
    <row r="89" spans="1:4" x14ac:dyDescent="0.3">
      <c r="A89" s="5">
        <v>58</v>
      </c>
      <c r="B89" s="8">
        <v>8</v>
      </c>
      <c r="C89" s="8">
        <v>4</v>
      </c>
      <c r="D89" s="8">
        <v>12</v>
      </c>
    </row>
    <row r="90" spans="1:4" x14ac:dyDescent="0.3">
      <c r="A90" s="5">
        <v>59</v>
      </c>
      <c r="B90" s="8">
        <v>14</v>
      </c>
      <c r="C90" s="8">
        <v>6</v>
      </c>
      <c r="D90" s="8">
        <v>20</v>
      </c>
    </row>
    <row r="91" spans="1:4" x14ac:dyDescent="0.3">
      <c r="A91" s="5">
        <v>60</v>
      </c>
      <c r="B91" s="8">
        <v>8</v>
      </c>
      <c r="C91" s="8">
        <v>7</v>
      </c>
      <c r="D91" s="8">
        <v>15</v>
      </c>
    </row>
    <row r="92" spans="1:4" x14ac:dyDescent="0.3">
      <c r="A92" s="5">
        <v>61</v>
      </c>
      <c r="B92" s="8">
        <v>5</v>
      </c>
      <c r="C92" s="8">
        <v>4</v>
      </c>
      <c r="D92" s="8">
        <v>9</v>
      </c>
    </row>
    <row r="93" spans="1:4" x14ac:dyDescent="0.3">
      <c r="A93" s="5">
        <v>62</v>
      </c>
      <c r="B93" s="8">
        <v>9</v>
      </c>
      <c r="C93" s="8">
        <v>4</v>
      </c>
      <c r="D93" s="8">
        <v>13</v>
      </c>
    </row>
    <row r="94" spans="1:4" x14ac:dyDescent="0.3">
      <c r="A94" s="5">
        <v>63</v>
      </c>
      <c r="B94" s="8">
        <v>7</v>
      </c>
      <c r="C94" s="8">
        <v>2</v>
      </c>
      <c r="D94" s="8">
        <v>9</v>
      </c>
    </row>
    <row r="95" spans="1:4" x14ac:dyDescent="0.3">
      <c r="A95" s="5">
        <v>64</v>
      </c>
      <c r="B95" s="8">
        <v>7</v>
      </c>
      <c r="C95" s="8">
        <v>3</v>
      </c>
      <c r="D95" s="8">
        <v>10</v>
      </c>
    </row>
    <row r="96" spans="1:4" x14ac:dyDescent="0.3">
      <c r="A96" s="5">
        <v>65</v>
      </c>
      <c r="B96" s="8">
        <v>6</v>
      </c>
      <c r="C96" s="8">
        <v>3</v>
      </c>
      <c r="D96" s="8">
        <v>9</v>
      </c>
    </row>
    <row r="97" spans="1:4" x14ac:dyDescent="0.3">
      <c r="A97" s="5">
        <v>66</v>
      </c>
      <c r="B97" s="8">
        <v>8</v>
      </c>
      <c r="C97" s="8">
        <v>6</v>
      </c>
      <c r="D97" s="8">
        <v>14</v>
      </c>
    </row>
    <row r="98" spans="1:4" x14ac:dyDescent="0.3">
      <c r="A98" s="5">
        <v>67</v>
      </c>
      <c r="B98" s="8">
        <v>8</v>
      </c>
      <c r="C98" s="8">
        <v>2</v>
      </c>
      <c r="D98" s="8">
        <v>10</v>
      </c>
    </row>
    <row r="99" spans="1:4" x14ac:dyDescent="0.3">
      <c r="A99" s="5">
        <v>68</v>
      </c>
      <c r="B99" s="8">
        <v>3</v>
      </c>
      <c r="C99" s="8"/>
      <c r="D99" s="8">
        <v>3</v>
      </c>
    </row>
    <row r="100" spans="1:4" x14ac:dyDescent="0.3">
      <c r="A100" s="5">
        <v>69</v>
      </c>
      <c r="B100" s="8">
        <v>8</v>
      </c>
      <c r="C100" s="8"/>
      <c r="D100" s="8">
        <v>8</v>
      </c>
    </row>
    <row r="101" spans="1:4" x14ac:dyDescent="0.3">
      <c r="A101" s="5">
        <v>70</v>
      </c>
      <c r="B101" s="8">
        <v>3</v>
      </c>
      <c r="C101" s="8">
        <v>1</v>
      </c>
      <c r="D101" s="8">
        <v>4</v>
      </c>
    </row>
    <row r="102" spans="1:4" x14ac:dyDescent="0.3">
      <c r="A102" s="5">
        <v>71</v>
      </c>
      <c r="B102" s="8">
        <v>1</v>
      </c>
      <c r="C102" s="8"/>
      <c r="D102" s="8">
        <v>1</v>
      </c>
    </row>
    <row r="103" spans="1:4" x14ac:dyDescent="0.3">
      <c r="A103" s="5">
        <v>72</v>
      </c>
      <c r="B103" s="8"/>
      <c r="C103" s="8">
        <v>1</v>
      </c>
      <c r="D103" s="8">
        <v>1</v>
      </c>
    </row>
    <row r="104" spans="1:4" x14ac:dyDescent="0.3">
      <c r="A104" s="5">
        <v>73</v>
      </c>
      <c r="B104" s="8">
        <v>2</v>
      </c>
      <c r="C104" s="8">
        <v>2</v>
      </c>
      <c r="D104" s="8">
        <v>4</v>
      </c>
    </row>
    <row r="105" spans="1:4" x14ac:dyDescent="0.3">
      <c r="A105" s="5">
        <v>74</v>
      </c>
      <c r="B105" s="8"/>
      <c r="C105" s="8">
        <v>1</v>
      </c>
      <c r="D105" s="8">
        <v>1</v>
      </c>
    </row>
    <row r="106" spans="1:4" x14ac:dyDescent="0.3">
      <c r="A106" s="5">
        <v>78</v>
      </c>
      <c r="B106" s="8">
        <v>1</v>
      </c>
      <c r="C106" s="8">
        <v>1</v>
      </c>
      <c r="D106" s="8">
        <v>2</v>
      </c>
    </row>
    <row r="107" spans="1:4" x14ac:dyDescent="0.3">
      <c r="A107" s="5">
        <v>80</v>
      </c>
      <c r="B107" s="8">
        <v>1</v>
      </c>
      <c r="C107" s="8"/>
      <c r="D107" s="8">
        <v>1</v>
      </c>
    </row>
    <row r="108" spans="1:4" x14ac:dyDescent="0.3">
      <c r="A108" s="5">
        <v>89</v>
      </c>
      <c r="B108" s="8">
        <v>1</v>
      </c>
      <c r="C108" s="8"/>
      <c r="D108" s="8">
        <v>1</v>
      </c>
    </row>
    <row r="109" spans="1:4" x14ac:dyDescent="0.3">
      <c r="A109" s="5" t="s">
        <v>42</v>
      </c>
      <c r="B109" s="8">
        <v>519</v>
      </c>
      <c r="C109" s="8">
        <v>481</v>
      </c>
      <c r="D109" s="8">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F0310-8992-4160-83A0-BB09A3C5C5BC}">
  <dimension ref="A1:O4"/>
  <sheetViews>
    <sheetView showGridLines="0" tabSelected="1" workbookViewId="0">
      <selection activeCell="P28" sqref="P28"/>
    </sheetView>
  </sheetViews>
  <sheetFormatPr defaultRowHeight="14.4" x14ac:dyDescent="0.3"/>
  <sheetData>
    <row r="1" spans="1:15" x14ac:dyDescent="0.3">
      <c r="A1" s="6" t="s">
        <v>50</v>
      </c>
      <c r="B1" s="7"/>
      <c r="C1" s="7"/>
      <c r="D1" s="7"/>
      <c r="E1" s="7"/>
      <c r="F1" s="7"/>
      <c r="G1" s="7"/>
      <c r="H1" s="7"/>
      <c r="I1" s="7"/>
      <c r="J1" s="7"/>
      <c r="K1" s="7"/>
      <c r="L1" s="7"/>
      <c r="M1" s="7"/>
      <c r="N1" s="7"/>
      <c r="O1" s="7"/>
    </row>
    <row r="2" spans="1:15" x14ac:dyDescent="0.3">
      <c r="A2" s="7"/>
      <c r="B2" s="7"/>
      <c r="C2" s="7"/>
      <c r="D2" s="7"/>
      <c r="E2" s="7"/>
      <c r="F2" s="7"/>
      <c r="G2" s="7"/>
      <c r="H2" s="7"/>
      <c r="I2" s="7"/>
      <c r="J2" s="7"/>
      <c r="K2" s="7"/>
      <c r="L2" s="7"/>
      <c r="M2" s="7"/>
      <c r="N2" s="7"/>
      <c r="O2" s="7"/>
    </row>
    <row r="3" spans="1:15" x14ac:dyDescent="0.3">
      <c r="A3" s="7"/>
      <c r="B3" s="7"/>
      <c r="C3" s="7"/>
      <c r="D3" s="7"/>
      <c r="E3" s="7"/>
      <c r="F3" s="7"/>
      <c r="G3" s="7"/>
      <c r="H3" s="7"/>
      <c r="I3" s="7"/>
      <c r="J3" s="7"/>
      <c r="K3" s="7"/>
      <c r="L3" s="7"/>
      <c r="M3" s="7"/>
      <c r="N3" s="7"/>
      <c r="O3" s="7"/>
    </row>
    <row r="4" spans="1:15" x14ac:dyDescent="0.3">
      <c r="A4" s="7"/>
      <c r="B4" s="7"/>
      <c r="C4" s="7"/>
      <c r="D4" s="7"/>
      <c r="E4" s="7"/>
      <c r="F4" s="7"/>
      <c r="G4" s="7"/>
      <c r="H4" s="7"/>
      <c r="I4" s="7"/>
      <c r="J4" s="7"/>
      <c r="K4" s="7"/>
      <c r="L4" s="7"/>
      <c r="M4" s="7"/>
      <c r="N4" s="7"/>
      <c r="O4" s="7"/>
    </row>
  </sheetData>
  <mergeCells count="1">
    <mergeCell ref="A1:O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Working_sheet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SHUBHAM KAUSHAL</dc:creator>
  <cp:lastModifiedBy>SHUBHAM KAUSHAL</cp:lastModifiedBy>
  <dcterms:created xsi:type="dcterms:W3CDTF">2022-03-18T02:50:57Z</dcterms:created>
  <dcterms:modified xsi:type="dcterms:W3CDTF">2025-11-02T08:27:18Z</dcterms:modified>
</cp:coreProperties>
</file>